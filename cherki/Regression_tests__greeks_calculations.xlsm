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\Working\Hermes\"/>
    </mc:Choice>
  </mc:AlternateContent>
  <xr:revisionPtr revIDLastSave="0" documentId="8_{A07B7D86-0ECF-43AD-9494-43EA7736CDF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est 1" sheetId="1" r:id="rId1"/>
    <sheet name="Sheet2" sheetId="2" r:id="rId2"/>
    <sheet name="Sheet3" sheetId="3" r:id="rId3"/>
  </sheets>
  <functionGroups builtInGroupCount="19"/>
  <definedNames>
    <definedName name="cdf_d1">'Test 1'!$F$7</definedName>
    <definedName name="cdf_d2">'Test 1'!$F$8</definedName>
    <definedName name="d1_">'Test 1'!$F$5</definedName>
    <definedName name="d2_">'Test 1'!$F$6</definedName>
    <definedName name="K">'Test 1'!$B$5</definedName>
    <definedName name="N_">'Test 1'!$K$4</definedName>
    <definedName name="rate">'Test 1'!$B$7</definedName>
    <definedName name="S">'Test 1'!$B$4</definedName>
    <definedName name="T">'Test 1'!$B$6</definedName>
    <definedName name="vol">'Test 1'!$B$8</definedName>
    <definedName name="vol_sqrt_T">'Test 1'!$F$4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" i="1" l="1"/>
  <c r="K6" i="1" s="1"/>
  <c r="F4" i="1"/>
  <c r="F5" i="1" s="1"/>
  <c r="F6" i="1" s="1"/>
  <c r="F8" i="1" s="1"/>
  <c r="K8" i="1" s="1"/>
  <c r="F27" i="1"/>
  <c r="F26" i="1"/>
  <c r="F25" i="1"/>
  <c r="F24" i="1"/>
  <c r="F23" i="1"/>
  <c r="F22" i="1"/>
  <c r="E24" i="1"/>
  <c r="E27" i="1"/>
  <c r="D27" i="1"/>
  <c r="C27" i="1"/>
  <c r="E26" i="1"/>
  <c r="D26" i="1"/>
  <c r="C26" i="1"/>
  <c r="E25" i="1"/>
  <c r="D25" i="1"/>
  <c r="C25" i="1"/>
  <c r="D24" i="1"/>
  <c r="C24" i="1"/>
  <c r="E23" i="1"/>
  <c r="D23" i="1"/>
  <c r="C23" i="1"/>
  <c r="E22" i="1"/>
  <c r="D22" i="1"/>
  <c r="C22" i="1"/>
  <c r="C31" i="1"/>
  <c r="C30" i="1"/>
  <c r="C32" i="1"/>
  <c r="C34" i="1"/>
  <c r="C33" i="1"/>
  <c r="P3" i="1"/>
  <c r="F7" i="1" l="1"/>
  <c r="H2" i="1" l="1"/>
  <c r="H3" i="1" s="1"/>
  <c r="K7" i="1"/>
  <c r="K5" i="1" s="1"/>
</calcChain>
</file>

<file path=xl/sharedStrings.xml><?xml version="1.0" encoding="utf-8"?>
<sst xmlns="http://schemas.openxmlformats.org/spreadsheetml/2006/main" count="52" uniqueCount="42">
  <si>
    <t>PV</t>
  </si>
  <si>
    <t>Delta</t>
  </si>
  <si>
    <t>Gamma</t>
  </si>
  <si>
    <t>Vega</t>
  </si>
  <si>
    <t>Theta</t>
  </si>
  <si>
    <t>Rho</t>
  </si>
  <si>
    <t>Model</t>
  </si>
  <si>
    <t>Hermes</t>
  </si>
  <si>
    <t>www.math.drexel.edu/~pg/fin/VanillaCalculator.html</t>
  </si>
  <si>
    <t>www.quantpie.co.uk/oup/oup_bsm_price_greeks.php</t>
  </si>
  <si>
    <t>www.option-price.com/index.php</t>
  </si>
  <si>
    <t>Values returned:</t>
  </si>
  <si>
    <t>Differences:</t>
  </si>
  <si>
    <t>Values returned by various online calculators</t>
  </si>
  <si>
    <t>No dividend yield.</t>
  </si>
  <si>
    <t>pineify.app/option-greeks-calculator</t>
  </si>
  <si>
    <t>S:</t>
  </si>
  <si>
    <t>K:</t>
  </si>
  <si>
    <t>T:</t>
  </si>
  <si>
    <t>vol:</t>
  </si>
  <si>
    <t>r:</t>
  </si>
  <si>
    <t>d1:</t>
  </si>
  <si>
    <t>d2:</t>
  </si>
  <si>
    <t>vol_sqrt_T</t>
  </si>
  <si>
    <t>PV:</t>
  </si>
  <si>
    <t>cdf(d2):</t>
  </si>
  <si>
    <t>cdf(d1):</t>
  </si>
  <si>
    <t>exp(-rT):</t>
  </si>
  <si>
    <t>Rounded (N digits):</t>
  </si>
  <si>
    <t>N:</t>
  </si>
  <si>
    <t>PV (VBA):</t>
  </si>
  <si>
    <t>Delta:</t>
  </si>
  <si>
    <t>Gamma:</t>
  </si>
  <si>
    <t>Vega:</t>
  </si>
  <si>
    <t>Theta:</t>
  </si>
  <si>
    <t>Rho:</t>
  </si>
  <si>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Calibri"/>
        <family val="2"/>
        <scheme val="minor"/>
      </rPr>
      <t>PV/</t>
    </r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Calibri"/>
        <family val="2"/>
        <scheme val="minor"/>
      </rPr>
      <t>S</t>
    </r>
  </si>
  <si>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Calibri"/>
        <family val="2"/>
        <scheme val="minor"/>
      </rPr>
      <t>PV/</t>
    </r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Calibri"/>
        <family val="2"/>
        <scheme val="minor"/>
      </rPr>
      <t>r</t>
    </r>
  </si>
  <si>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Calibri"/>
        <family val="2"/>
        <scheme val="minor"/>
      </rPr>
      <t>PV/</t>
    </r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Calibri"/>
        <family val="2"/>
        <scheme val="minor"/>
      </rPr>
      <t>t</t>
    </r>
  </si>
  <si>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Calibri"/>
        <family val="2"/>
        <scheme val="minor"/>
      </rPr>
      <t>PV/</t>
    </r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Calibri"/>
        <family val="2"/>
        <scheme val="minor"/>
      </rPr>
      <t>vol</t>
    </r>
  </si>
  <si>
    <r>
      <t>(V</t>
    </r>
    <r>
      <rPr>
        <vertAlign val="subscript"/>
        <sz val="10"/>
        <color theme="1"/>
        <rFont val="Calibri"/>
        <family val="2"/>
        <scheme val="minor"/>
      </rPr>
      <t>+</t>
    </r>
    <r>
      <rPr>
        <sz val="10"/>
        <color theme="1"/>
        <rFont val="Calibri"/>
        <family val="2"/>
        <scheme val="minor"/>
      </rPr>
      <t>-2V+V</t>
    </r>
    <r>
      <rPr>
        <vertAlign val="subscript"/>
        <sz val="10"/>
        <color theme="1"/>
        <rFont val="Calibri"/>
        <family val="2"/>
        <scheme val="minor"/>
      </rPr>
      <t>-</t>
    </r>
    <r>
      <rPr>
        <sz val="10"/>
        <color theme="1"/>
        <rFont val="Calibri"/>
        <family val="2"/>
        <scheme val="minor"/>
      </rPr>
      <t>)/</t>
    </r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Calibri"/>
        <family val="2"/>
        <scheme val="minor"/>
      </rPr>
      <t>S</t>
    </r>
    <r>
      <rPr>
        <vertAlign val="superscript"/>
        <sz val="10"/>
        <color theme="1"/>
        <rFont val="Calibri"/>
        <family val="2"/>
        <scheme val="minor"/>
      </rPr>
      <t>2</t>
    </r>
  </si>
  <si>
    <t>Using shifting the underlying: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</si>
</sst>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000"/>
    <numFmt numFmtId="165" formatCode="0.0000"/>
  </numFmts>
  <fonts count="1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0"/>
      <color theme="1"/>
      <name val="Symbol"/>
      <family val="1"/>
      <charset val="2"/>
    </font>
    <font>
      <vertAlign val="subscript"/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darkUp">
        <fgColor theme="5" tint="0.79998168889431442"/>
        <bgColor theme="0" tint="-4.9989318521683403E-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 applyNumberFormat="0" applyFill="0" applyBorder="0" applyAlignment="0" applyProtection="0"/>
  </cellStyleXfs>
  <cellXfs count="17">
    <xf numFmtId="0" fontId="0" fillId="0" borderId="0" xfId="0"/>
    <xf numFmtId="0" fontId="5" fillId="0" borderId="0" xfId="0" applyFont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textRotation="90"/>
    </xf>
    <xf numFmtId="0" fontId="8" fillId="0" borderId="0" xfId="4" applyFont="1" applyAlignment="1">
      <alignment textRotation="90"/>
    </xf>
    <xf numFmtId="0" fontId="9" fillId="0" borderId="0" xfId="0" applyFont="1"/>
    <xf numFmtId="0" fontId="2" fillId="3" borderId="0" xfId="2"/>
    <xf numFmtId="0" fontId="7" fillId="5" borderId="0" xfId="0" applyFont="1" applyFill="1"/>
    <xf numFmtId="164" fontId="7" fillId="0" borderId="0" xfId="0" applyNumberFormat="1" applyFont="1"/>
    <xf numFmtId="0" fontId="10" fillId="0" borderId="0" xfId="0" applyFont="1"/>
    <xf numFmtId="165" fontId="7" fillId="0" borderId="0" xfId="0" applyNumberFormat="1" applyFont="1"/>
    <xf numFmtId="0" fontId="11" fillId="2" borderId="0" xfId="1" applyFont="1"/>
    <xf numFmtId="0" fontId="3" fillId="4" borderId="1" xfId="3"/>
    <xf numFmtId="165" fontId="3" fillId="4" borderId="1" xfId="3" applyNumberFormat="1"/>
    <xf numFmtId="0" fontId="3" fillId="4" borderId="1" xfId="3" applyNumberFormat="1"/>
    <xf numFmtId="165" fontId="3" fillId="4" borderId="1" xfId="3" applyNumberFormat="1" applyAlignment="1"/>
  </cellXfs>
  <cellStyles count="5">
    <cellStyle name="Bad" xfId="2" builtinId="27"/>
    <cellStyle name="Calculation" xfId="3" builtinId="22"/>
    <cellStyle name="Good" xfId="1" builtinId="26"/>
    <cellStyle name="Hyperlink" xfId="4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option-price.com/index.php" TargetMode="External"/><Relationship Id="rId2" Type="http://schemas.openxmlformats.org/officeDocument/2006/relationships/hyperlink" Target="http://www.quantpie.co.uk/oup/oup_bsm_price_greeks.php" TargetMode="External"/><Relationship Id="rId1" Type="http://schemas.openxmlformats.org/officeDocument/2006/relationships/hyperlink" Target="http://www.math.drexel.edu/~pg/fin/VanillaCalculator.html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math.drexel.edu/~pg/fin/VanillaCalculator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4"/>
  <sheetViews>
    <sheetView tabSelected="1" topLeftCell="A10" workbookViewId="0">
      <selection activeCell="A29" sqref="A29"/>
    </sheetView>
  </sheetViews>
  <sheetFormatPr defaultColWidth="9.109375" defaultRowHeight="13.8" x14ac:dyDescent="0.3"/>
  <cols>
    <col min="1" max="1" width="16.5546875" style="3" customWidth="1"/>
    <col min="2" max="2" width="15.88671875" style="3" customWidth="1"/>
    <col min="3" max="3" width="10.109375" style="3" customWidth="1"/>
    <col min="4" max="5" width="9.109375" style="3"/>
    <col min="6" max="6" width="16.109375" style="3" customWidth="1"/>
    <col min="7" max="7" width="4.88671875" style="3" customWidth="1"/>
    <col min="8" max="8" width="14" style="3" customWidth="1"/>
    <col min="9" max="9" width="12.109375" style="3" customWidth="1"/>
    <col min="10" max="10" width="12" style="3" bestFit="1" customWidth="1"/>
    <col min="11" max="11" width="14.5546875" style="3" bestFit="1" customWidth="1"/>
    <col min="12" max="12" width="10.33203125" style="3" customWidth="1"/>
    <col min="13" max="13" width="11" style="3" customWidth="1"/>
    <col min="14" max="15" width="9.109375" style="3"/>
    <col min="16" max="16" width="9.109375" style="3" customWidth="1"/>
    <col min="17" max="16384" width="9.109375" style="3"/>
  </cols>
  <sheetData>
    <row r="1" spans="1:16" s="1" customFormat="1" ht="23.4" x14ac:dyDescent="0.45">
      <c r="A1" s="2" t="s">
        <v>13</v>
      </c>
    </row>
    <row r="2" spans="1:16" ht="12.75" customHeight="1" x14ac:dyDescent="0.3">
      <c r="G2" s="3" t="s">
        <v>24</v>
      </c>
      <c r="H2" s="12">
        <f>S*cdf_d1 - K*EXP(-rate*T)*cdf_d2</f>
        <v>261.26458930463923</v>
      </c>
    </row>
    <row r="3" spans="1:16" ht="12.75" customHeight="1" x14ac:dyDescent="0.3">
      <c r="H3" s="11">
        <f>H2</f>
        <v>261.26458930463923</v>
      </c>
      <c r="J3" s="10" t="s">
        <v>28</v>
      </c>
      <c r="O3" s="3" t="s">
        <v>30</v>
      </c>
      <c r="P3" s="11">
        <f>Call_PV(K,S,T,rate,vol)</f>
        <v>261.26458930463929</v>
      </c>
    </row>
    <row r="4" spans="1:16" ht="12.75" customHeight="1" x14ac:dyDescent="0.3">
      <c r="A4" s="3" t="s">
        <v>16</v>
      </c>
      <c r="B4" s="3">
        <v>2500</v>
      </c>
      <c r="E4" s="3" t="s">
        <v>23</v>
      </c>
      <c r="F4" s="3">
        <f>vol*SQRT(T)</f>
        <v>0.2</v>
      </c>
      <c r="J4" s="3" t="s">
        <v>29</v>
      </c>
      <c r="K4" s="13">
        <v>8</v>
      </c>
    </row>
    <row r="5" spans="1:16" ht="12.75" customHeight="1" x14ac:dyDescent="0.3">
      <c r="A5" s="3" t="s">
        <v>17</v>
      </c>
      <c r="B5" s="3">
        <v>2500</v>
      </c>
      <c r="E5" s="3" t="s">
        <v>21</v>
      </c>
      <c r="F5" s="3">
        <f>(LN(S/K)+(rate+0.5*vol*vol))/vol_sqrt_T</f>
        <v>0.35000000000000003</v>
      </c>
      <c r="J5" s="3" t="s">
        <v>24</v>
      </c>
      <c r="K5" s="14">
        <f>S*K7-K*K6*K8</f>
        <v>261.26459829890064</v>
      </c>
    </row>
    <row r="6" spans="1:16" ht="12.75" customHeight="1" x14ac:dyDescent="0.3">
      <c r="A6" s="3" t="s">
        <v>18</v>
      </c>
      <c r="B6" s="3">
        <v>1</v>
      </c>
      <c r="E6" s="3" t="s">
        <v>22</v>
      </c>
      <c r="F6" s="3">
        <f>d1_-vol*SQRT(T)</f>
        <v>0.15000000000000002</v>
      </c>
      <c r="J6" s="3" t="s">
        <v>27</v>
      </c>
      <c r="K6" s="15">
        <f>ROUND(M6, N_)</f>
        <v>0.95122941999999999</v>
      </c>
      <c r="L6" s="9" t="s">
        <v>27</v>
      </c>
      <c r="M6" s="13">
        <f>EXP(-rate*T)</f>
        <v>0.95122942450071402</v>
      </c>
    </row>
    <row r="7" spans="1:16" ht="12.75" customHeight="1" x14ac:dyDescent="0.3">
      <c r="A7" s="3" t="s">
        <v>20</v>
      </c>
      <c r="B7" s="3">
        <v>0.05</v>
      </c>
      <c r="E7" s="3" t="s">
        <v>26</v>
      </c>
      <c r="F7" s="9">
        <f>_xlfn.NORM.S.DIST(d1_, TRUE)</f>
        <v>0.6368306511756191</v>
      </c>
      <c r="J7" s="3" t="s">
        <v>26</v>
      </c>
      <c r="K7" s="15">
        <f>ROUND(cdf_d1,N_)</f>
        <v>0.63683065000000005</v>
      </c>
    </row>
    <row r="8" spans="1:16" ht="12.75" customHeight="1" x14ac:dyDescent="0.3">
      <c r="A8" s="3" t="s">
        <v>19</v>
      </c>
      <c r="B8" s="3">
        <v>0.2</v>
      </c>
      <c r="E8" s="3" t="s">
        <v>25</v>
      </c>
      <c r="F8" s="9">
        <f>_xlfn.NORM.S.DIST(d2_, TRUE)</f>
        <v>0.5596176923702425</v>
      </c>
      <c r="J8" s="3" t="s">
        <v>25</v>
      </c>
      <c r="K8" s="15">
        <f>ROUND(cdf_d2,N_)</f>
        <v>0.55961768999999995</v>
      </c>
    </row>
    <row r="9" spans="1:16" ht="12.75" customHeight="1" x14ac:dyDescent="0.3">
      <c r="A9" s="3" t="s">
        <v>14</v>
      </c>
    </row>
    <row r="10" spans="1:16" ht="12.75" customHeight="1" x14ac:dyDescent="0.3"/>
    <row r="11" spans="1:16" s="4" customFormat="1" ht="204" customHeight="1" x14ac:dyDescent="0.3">
      <c r="A11" s="3" t="s">
        <v>6</v>
      </c>
      <c r="B11" s="4" t="s">
        <v>7</v>
      </c>
      <c r="C11" s="5" t="s">
        <v>9</v>
      </c>
      <c r="D11" s="5" t="s">
        <v>10</v>
      </c>
      <c r="E11" s="5" t="s">
        <v>8</v>
      </c>
      <c r="F11" s="5" t="s">
        <v>15</v>
      </c>
      <c r="G11" s="5"/>
    </row>
    <row r="13" spans="1:16" x14ac:dyDescent="0.3">
      <c r="A13" s="6" t="s">
        <v>11</v>
      </c>
    </row>
    <row r="14" spans="1:16" x14ac:dyDescent="0.3">
      <c r="A14" s="3" t="s">
        <v>0</v>
      </c>
      <c r="B14" s="3">
        <v>261.26459999999997</v>
      </c>
      <c r="C14" s="3">
        <v>261.26440000000002</v>
      </c>
      <c r="D14" s="3">
        <v>261.26440000000002</v>
      </c>
      <c r="E14" s="3">
        <v>261.26440000000002</v>
      </c>
      <c r="F14" s="3">
        <v>261.26440000000002</v>
      </c>
    </row>
    <row r="15" spans="1:16" x14ac:dyDescent="0.3">
      <c r="A15" s="3" t="s">
        <v>1</v>
      </c>
      <c r="B15" s="3">
        <v>0.63680000000000003</v>
      </c>
      <c r="C15" s="3">
        <v>0.63680000000000003</v>
      </c>
      <c r="D15" s="3">
        <v>0.63680000000000003</v>
      </c>
      <c r="E15" s="3">
        <v>0.63680000000000003</v>
      </c>
      <c r="F15" s="3">
        <v>0.63680000000000003</v>
      </c>
    </row>
    <row r="16" spans="1:16" x14ac:dyDescent="0.3">
      <c r="A16" s="3" t="s">
        <v>2</v>
      </c>
      <c r="B16" s="3">
        <v>8.0000000000000004E-4</v>
      </c>
      <c r="C16" s="3">
        <v>8.0000000000000004E-4</v>
      </c>
      <c r="D16" s="3">
        <v>8.0000000000000004E-4</v>
      </c>
      <c r="E16" s="3">
        <v>8.0000000000000004E-4</v>
      </c>
      <c r="F16" s="3">
        <v>8.0000000000000004E-4</v>
      </c>
    </row>
    <row r="17" spans="1:6" ht="14.4" x14ac:dyDescent="0.3">
      <c r="A17" s="3" t="s">
        <v>3</v>
      </c>
      <c r="B17" s="3">
        <v>938.10090000000002</v>
      </c>
      <c r="C17" s="3">
        <v>938.10090000000002</v>
      </c>
      <c r="D17" s="7">
        <v>9.3810000000000002</v>
      </c>
      <c r="E17" s="3">
        <v>938.10090000000002</v>
      </c>
      <c r="F17" s="7">
        <v>9.3810000000000002</v>
      </c>
    </row>
    <row r="18" spans="1:6" ht="14.4" x14ac:dyDescent="0.3">
      <c r="A18" s="3" t="s">
        <v>4</v>
      </c>
      <c r="B18" s="3">
        <v>-160.35069999999999</v>
      </c>
      <c r="C18" s="3">
        <v>-160.35069999999999</v>
      </c>
      <c r="D18" s="7">
        <v>-0.43930000000000002</v>
      </c>
      <c r="E18" s="8">
        <v>160.35069999999999</v>
      </c>
      <c r="F18" s="7">
        <v>-0.43930000000000002</v>
      </c>
    </row>
    <row r="19" spans="1:6" ht="14.4" x14ac:dyDescent="0.3">
      <c r="A19" s="3" t="s">
        <v>5</v>
      </c>
      <c r="B19" s="3">
        <v>1330.8121000000001</v>
      </c>
      <c r="C19" s="3">
        <v>1330.8121000000001</v>
      </c>
      <c r="D19" s="7">
        <v>13.3081</v>
      </c>
      <c r="E19" s="3">
        <v>1330.8121000000001</v>
      </c>
      <c r="F19" s="7">
        <v>13.3081</v>
      </c>
    </row>
    <row r="21" spans="1:6" x14ac:dyDescent="0.3">
      <c r="A21" s="6" t="s">
        <v>12</v>
      </c>
    </row>
    <row r="22" spans="1:6" x14ac:dyDescent="0.3">
      <c r="A22" s="3" t="s">
        <v>0</v>
      </c>
      <c r="C22" s="3">
        <f t="shared" ref="C22:F27" si="0">C14-$B14</f>
        <v>-1.9999999994979589E-4</v>
      </c>
      <c r="D22" s="3">
        <f t="shared" si="0"/>
        <v>-1.9999999994979589E-4</v>
      </c>
      <c r="E22" s="3">
        <f t="shared" si="0"/>
        <v>-1.9999999994979589E-4</v>
      </c>
      <c r="F22" s="3">
        <f t="shared" si="0"/>
        <v>-1.9999999994979589E-4</v>
      </c>
    </row>
    <row r="23" spans="1:6" x14ac:dyDescent="0.3">
      <c r="A23" s="3" t="s">
        <v>1</v>
      </c>
      <c r="C23" s="3">
        <f t="shared" si="0"/>
        <v>0</v>
      </c>
      <c r="D23" s="3">
        <f t="shared" si="0"/>
        <v>0</v>
      </c>
      <c r="E23" s="3">
        <f t="shared" si="0"/>
        <v>0</v>
      </c>
      <c r="F23" s="3">
        <f t="shared" si="0"/>
        <v>0</v>
      </c>
    </row>
    <row r="24" spans="1:6" x14ac:dyDescent="0.3">
      <c r="A24" s="3" t="s">
        <v>2</v>
      </c>
      <c r="C24" s="3">
        <f t="shared" si="0"/>
        <v>0</v>
      </c>
      <c r="D24" s="3">
        <f t="shared" si="0"/>
        <v>0</v>
      </c>
      <c r="E24" s="3">
        <f t="shared" si="0"/>
        <v>0</v>
      </c>
      <c r="F24" s="3">
        <f t="shared" si="0"/>
        <v>0</v>
      </c>
    </row>
    <row r="25" spans="1:6" ht="14.4" x14ac:dyDescent="0.3">
      <c r="A25" s="3" t="s">
        <v>3</v>
      </c>
      <c r="C25" s="3">
        <f t="shared" si="0"/>
        <v>0</v>
      </c>
      <c r="D25" s="7">
        <f t="shared" si="0"/>
        <v>-928.71990000000005</v>
      </c>
      <c r="E25" s="3">
        <f t="shared" si="0"/>
        <v>0</v>
      </c>
      <c r="F25" s="7">
        <f t="shared" si="0"/>
        <v>-928.71990000000005</v>
      </c>
    </row>
    <row r="26" spans="1:6" ht="14.4" x14ac:dyDescent="0.3">
      <c r="A26" s="3" t="s">
        <v>4</v>
      </c>
      <c r="C26" s="3">
        <f t="shared" si="0"/>
        <v>0</v>
      </c>
      <c r="D26" s="7">
        <f t="shared" si="0"/>
        <v>159.91139999999999</v>
      </c>
      <c r="E26" s="7">
        <f t="shared" si="0"/>
        <v>320.70139999999998</v>
      </c>
      <c r="F26" s="7">
        <f t="shared" si="0"/>
        <v>159.91139999999999</v>
      </c>
    </row>
    <row r="27" spans="1:6" ht="14.4" x14ac:dyDescent="0.3">
      <c r="A27" s="3" t="s">
        <v>5</v>
      </c>
      <c r="C27" s="3">
        <f t="shared" si="0"/>
        <v>0</v>
      </c>
      <c r="D27" s="7">
        <f t="shared" si="0"/>
        <v>-1317.5040000000001</v>
      </c>
      <c r="E27" s="3">
        <f t="shared" si="0"/>
        <v>0</v>
      </c>
      <c r="F27" s="7">
        <f t="shared" si="0"/>
        <v>-1317.5040000000001</v>
      </c>
    </row>
    <row r="29" spans="1:6" x14ac:dyDescent="0.3">
      <c r="A29" s="6" t="s">
        <v>41</v>
      </c>
    </row>
    <row r="30" spans="1:6" ht="14.4" x14ac:dyDescent="0.3">
      <c r="A30" s="3" t="s">
        <v>31</v>
      </c>
      <c r="B30" s="3" t="s">
        <v>36</v>
      </c>
      <c r="C30" s="14">
        <f>(Call_PV(K,S+0.01,T,rate,vol)-Call_PV(K,S,T,rate,vol))/0.01</f>
        <v>0.63683440356498977</v>
      </c>
    </row>
    <row r="31" spans="1:6" ht="15.6" x14ac:dyDescent="0.35">
      <c r="A31" s="3" t="s">
        <v>32</v>
      </c>
      <c r="B31" s="3" t="s">
        <v>40</v>
      </c>
      <c r="C31" s="16">
        <f>(Call_PV(K,S+0.01,T,rate,vol)-2*Call_PV(K,S,T,rate,vol)+Call_PV(K,S-0.01,T,rate,vol))/(0.0001)</f>
        <v>7.5047637437819503E-4</v>
      </c>
      <c r="D31"/>
    </row>
    <row r="32" spans="1:6" ht="14.4" x14ac:dyDescent="0.3">
      <c r="A32" s="3" t="s">
        <v>33</v>
      </c>
      <c r="B32" s="3" t="s">
        <v>39</v>
      </c>
      <c r="C32" s="14">
        <f>(Call_PV(K,S,T,rate,vol+0.001)-Call_PV(K,S,T,rate,vol))/0.001</f>
        <v>938.22323532202745</v>
      </c>
    </row>
    <row r="33" spans="1:3" ht="14.4" x14ac:dyDescent="0.3">
      <c r="A33" s="3" t="s">
        <v>34</v>
      </c>
      <c r="B33" s="3" t="s">
        <v>38</v>
      </c>
      <c r="C33" s="14">
        <f>(Call_PV(K,S,T-0.001,rate,vol)-Call_PV(K,S,T,rate,vol))/0.001</f>
        <v>-160.37693111195495</v>
      </c>
    </row>
    <row r="34" spans="1:3" ht="14.4" x14ac:dyDescent="0.3">
      <c r="A34" s="3" t="s">
        <v>35</v>
      </c>
      <c r="B34" s="3" t="s">
        <v>37</v>
      </c>
      <c r="C34" s="14">
        <f>(Call_PV(K,S,T,rate+0.0001,vol)-Call_PV(K,S,T,rate,vol))/0.0001</f>
        <v>1330.9800039633046</v>
      </c>
    </row>
  </sheetData>
  <hyperlinks>
    <hyperlink ref="E11" r:id="rId1" xr:uid="{00000000-0004-0000-0000-000000000000}"/>
    <hyperlink ref="C11" r:id="rId2" xr:uid="{00000000-0004-0000-0000-000001000000}"/>
    <hyperlink ref="D11" r:id="rId3" xr:uid="{00000000-0004-0000-0000-000002000000}"/>
    <hyperlink ref="F11" r:id="rId4" display="www.math.drexel.edu/~pg/fin/VanillaCalculator.html" xr:uid="{00000000-0004-0000-0000-000003000000}"/>
  </hyperlinks>
  <pageMargins left="0.7" right="0.7" top="0.75" bottom="0.75" header="0.3" footer="0.3"/>
  <pageSetup orientation="portrait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Test 1</vt:lpstr>
      <vt:lpstr>Sheet2</vt:lpstr>
      <vt:lpstr>Sheet3</vt:lpstr>
      <vt:lpstr>cdf_d1</vt:lpstr>
      <vt:lpstr>cdf_d2</vt:lpstr>
      <vt:lpstr>d1_</vt:lpstr>
      <vt:lpstr>d2_</vt:lpstr>
      <vt:lpstr>K</vt:lpstr>
      <vt:lpstr>N_</vt:lpstr>
      <vt:lpstr>rate</vt:lpstr>
      <vt:lpstr>S</vt:lpstr>
      <vt:lpstr>T</vt:lpstr>
      <vt:lpstr>vol</vt:lpstr>
      <vt:lpstr>vol_sqrt_T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O'Kane</dc:creator>
  <cp:lastModifiedBy>James O'Kane</cp:lastModifiedBy>
  <dcterms:created xsi:type="dcterms:W3CDTF">2026-05-22T21:33:29Z</dcterms:created>
  <dcterms:modified xsi:type="dcterms:W3CDTF">2026-05-26T14:43:53Z</dcterms:modified>
</cp:coreProperties>
</file>