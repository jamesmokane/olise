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Working\Hermes\"/>
    </mc:Choice>
  </mc:AlternateContent>
  <xr:revisionPtr revIDLastSave="0" documentId="13_ncr:1_{70D52B9E-0EBB-4045-AC78-32046AF281E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sition" sheetId="1" r:id="rId1"/>
    <sheet name="Holidays" sheetId="2" r:id="rId2"/>
    <sheet name="Hidden" sheetId="3" r:id="rId3"/>
  </sheets>
  <functionGroups builtInGroupCount="19">
    <functionGroup name="xlwings"/>
  </functionGroups>
  <definedNames>
    <definedName name="Hermes_current_valuation" localSheetId="2" hidden="1">Hidden!$S$3:$W$4</definedName>
    <definedName name="Hermes_portfolios" localSheetId="2" hidden="1">Hidden!$E$3:$G$5</definedName>
    <definedName name="Hermes_trade_valuations" localSheetId="0" hidden="1">Position!$A$12:$J$13</definedName>
    <definedName name="Hermes_valuations_1" localSheetId="2" hidden="1">Hidden!$J$3:$P$4</definedName>
    <definedName name="Hidden_portfolio_ID">Hidden!$I$3</definedName>
    <definedName name="Hidden_valuation_ID">Hidden!$R$3</definedName>
    <definedName name="port_rate">Position!$C$5</definedName>
    <definedName name="port_S">Position!$C$3</definedName>
    <definedName name="port_vol">Position!$C$4</definedName>
    <definedName name="portfolio_ctrl">Position!$F$3</definedName>
    <definedName name="Query_from_hermes" localSheetId="1" hidden="1">Holidays!$A$6:$C$39</definedName>
    <definedName name="Query_from_hermes" localSheetId="0" hidden="1">Position!$L$12:$Y$14</definedName>
    <definedName name="Today">Position!$C$7</definedName>
    <definedName name="trade_types">Hidden!$Z$3:$Z$11</definedName>
    <definedName name="valuation_ctrl">Position!$F$5</definedName>
    <definedName name="valuation_list">IF(COUNTA(Hidden!$R$4:$R$100000)=0, Hidden!$O$4, Hidden!$O$4:INDEX(Hidden!$R$4:$R$100000, COUNTA(Hidden!$R$4:$R$100000)))</definedName>
  </definedNames>
  <calcPr calcId="191029"/>
  <extLst>
    <ext xmlns:x14="http://schemas.microsoft.com/office/spreadsheetml/2009/9/main" uri="{8193D73E-4604-4355-AFF4-8A2333D13BE4}">
      <x14:definedNames>
        <x14:definedName name="BS_call_greek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fresh_trades">
          <x14:argumentDescriptions count="1">
            <x14:argumentDescription index="0">Positional argument 1</x14:argumentDescription>
          </x14:argumentDescriptions>
        </x14:definedName>
        <x14:definedName name="refresh_valuation">
          <x14:argumentDescriptions count="1">
            <x14:argumentDescription index="0">Positional argument 1</x14:argumentDescription>
          </x14:argumentDescriptions>
        </x14:definedName>
        <x14:definedName name="value_portfoli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value_trad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I10" i="1"/>
  <c r="H10" i="1"/>
  <c r="G10" i="1"/>
  <c r="E10" i="1"/>
  <c r="F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ermes_current_valuation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v.ID, v.S, v.rate, v.vol,v.ID||' @ '||strftime('%Y-%m-%d %H:%M:%S', v.valuation_time) AS 'display_text'_x000d__x000a_FROM valuations v_x000d__x000a_WHERE (v.ID=?)"/>
    <parameters count="1">
      <parameter name="Parameter1" sqlType="-10" parameterType="cell" cell="Hidden!$R$3"/>
    </parameters>
  </connection>
  <connection id="2" xr16:uid="{00000000-0015-0000-FFFF-FFFF01000000}" name="hermes_holiday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non_business_days.location, non_business_days.reason, non_business_days.non_business_day_x000d__x000a_FROM non_business_days non_business_days_x000d__x000a_WHERE (non_business_days.location=?)_x000d__x000a_ORDER BY non_business_days.non_business_day"/>
    <parameters count="1">
      <parameter name="Parameter1" sqlType="-10" parameterType="cell" refreshOnChange="1" cell="Holidays!$B$4"/>
    </parameters>
  </connection>
  <connection id="3" xr16:uid="{00000000-0015-0000-FFFF-FFFF02000000}" name="Hermes_portfolio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portfolios.ID, portfolios.name, portfolios.ID||&quot; - &quot;||portfolios.name AS 'display_text'_x000d__x000a_FROM portfolios portfolios_x000d__x000a_ORDER BY portfolios.ID"/>
  </connection>
  <connection id="4" xr16:uid="{00000000-0015-0000-FFFF-FFFF03000000}" name="Hermes_trade_valuation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trade_valuations.valuation_ID, trade_valuations.trade_ID, trade_valuations.leg, trade_valuations.model, trade_valuations.PV, trade_valuations.delta, trade_valuations.gamma, trade_valuations.rho, trade_valuations.vega, trade_valuations.theta_x000d__x000a_FROM trade_valuations trade_valuations_x000d__x000a_WHERE (trade_valuations.valuation_ID=?)_x000d__x000a_ORDER BY trade_valuations.trade_ID, trade_valuations.leg"/>
    <parameters count="1">
      <parameter name="Parameter1" sqlType="-10" parameterType="cell" cell="Hidden!$R$3"/>
    </parameters>
  </connection>
  <connection id="5" xr16:uid="{00000000-0015-0000-FFFF-FFFF04000000}" name="Hermes_trade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trades.trade_ID, trades.leg, trades.portfolio_ID, trades.notional, trades.trade_type, trades.premium, trades.trade_date, trades.expiry_date, trades.strike, trades.barrier1, trades.barrier2, trades.settlement_date, trades.delivery_date, trades.model_x000d__x000a_FROM trades trades_x000d__x000a_WHERE (trades.portfolio_ID=?)_x000d__x000a_ORDER BY trades.trade_ID, trades.leg"/>
    <parameters count="1">
      <parameter name="Parameter1" sqlType="-10" parameterType="cell" cell="Hidden!$I$3"/>
    </parameters>
  </connection>
  <connection id="6" xr16:uid="{00000000-0015-0000-FFFF-FFFF05000000}" name="Hermes_valuation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v.ID,v.portfolio_ID, _x000d__x000a_strftime('%Y-%m-%dT%H:%M:%S', v.valuation_time), v.S, v.rate, v.vol, _x000d__x000a_v.ID||' @ '||strftime('%Y-%m-%d %H:%M:%S', v.valuation_time) AS 'display_text'_x000d__x000a_FROM valuations v_x000d__x000a_WHERE (v.portfolio_ID=?)_x000d__x000a_ORDER BY v.ID DESC"/>
    <parameters count="1">
      <parameter name="Parameter1" sqlType="-10" parameterType="cell" cell="Hidden!$I$3"/>
    </parameters>
  </connection>
</connections>
</file>

<file path=xl/sharedStrings.xml><?xml version="1.0" encoding="utf-8"?>
<sst xmlns="http://schemas.openxmlformats.org/spreadsheetml/2006/main" count="202" uniqueCount="122">
  <si>
    <t>Non-Business Days</t>
  </si>
  <si>
    <t>Location:</t>
  </si>
  <si>
    <t>location</t>
  </si>
  <si>
    <t>reason</t>
  </si>
  <si>
    <t>non_business_day</t>
  </si>
  <si>
    <t>UK</t>
  </si>
  <si>
    <t>Portfolio Manager</t>
  </si>
  <si>
    <t>S:</t>
  </si>
  <si>
    <t>vol:</t>
  </si>
  <si>
    <t>rate:</t>
  </si>
  <si>
    <t>asset:</t>
  </si>
  <si>
    <t>trade_ID</t>
  </si>
  <si>
    <t>leg</t>
  </si>
  <si>
    <t>portfolio_ID</t>
  </si>
  <si>
    <t>notional</t>
  </si>
  <si>
    <t>trade_type</t>
  </si>
  <si>
    <t>premium</t>
  </si>
  <si>
    <t>trade_date</t>
  </si>
  <si>
    <t>expiry_date</t>
  </si>
  <si>
    <t>strike</t>
  </si>
  <si>
    <t>barrier1</t>
  </si>
  <si>
    <t>barrier2</t>
  </si>
  <si>
    <t>settlement_date</t>
  </si>
  <si>
    <t>delivery_date</t>
  </si>
  <si>
    <t>Call</t>
  </si>
  <si>
    <t>valuation_ID</t>
  </si>
  <si>
    <t>model</t>
  </si>
  <si>
    <t>PV</t>
  </si>
  <si>
    <t>delta</t>
  </si>
  <si>
    <t>gamma</t>
  </si>
  <si>
    <t>rho</t>
  </si>
  <si>
    <t>vega</t>
  </si>
  <si>
    <t>theta</t>
  </si>
  <si>
    <t>US</t>
  </si>
  <si>
    <t>Valuation:</t>
  </si>
  <si>
    <t>Portfolio:</t>
  </si>
  <si>
    <t>Holiday Locations</t>
  </si>
  <si>
    <t>Portfolios</t>
  </si>
  <si>
    <t>Valuations</t>
  </si>
  <si>
    <t>Portfolio 1</t>
  </si>
  <si>
    <t>1 - Portfolio 1</t>
  </si>
  <si>
    <t>ID</t>
  </si>
  <si>
    <t>name</t>
  </si>
  <si>
    <t>S</t>
  </si>
  <si>
    <t>rate</t>
  </si>
  <si>
    <t>vol</t>
  </si>
  <si>
    <t>display_text</t>
  </si>
  <si>
    <t>std</t>
  </si>
  <si>
    <t>valuation_time)</t>
  </si>
  <si>
    <t>2026-02-01</t>
  </si>
  <si>
    <t>2026-02-03</t>
  </si>
  <si>
    <t>Current Valuations</t>
  </si>
  <si>
    <t>This page contains tables used to populate dropdown controls etc.</t>
  </si>
  <si>
    <t>Trade types</t>
  </si>
  <si>
    <t>Put</t>
  </si>
  <si>
    <t>American Call</t>
  </si>
  <si>
    <t>American Put</t>
  </si>
  <si>
    <t>Asian Call</t>
  </si>
  <si>
    <t>Asian Put</t>
  </si>
  <si>
    <t>Knock in</t>
  </si>
  <si>
    <t>Knock Out</t>
  </si>
  <si>
    <t>Double Digital</t>
  </si>
  <si>
    <t>Portfolio 2</t>
  </si>
  <si>
    <t>2 - Portfolio 2</t>
  </si>
  <si>
    <t>2026-01-01</t>
  </si>
  <si>
    <t>2026-02-16</t>
  </si>
  <si>
    <t>S&amp;P500</t>
  </si>
  <si>
    <t>Val Time:</t>
  </si>
  <si>
    <t>New Years Day</t>
  </si>
  <si>
    <t>Martin Luther King Jr. Day</t>
  </si>
  <si>
    <t>2026-01-19</t>
  </si>
  <si>
    <t>Presidents Day</t>
  </si>
  <si>
    <t>Memorial Day</t>
  </si>
  <si>
    <t>2026-05-25</t>
  </si>
  <si>
    <t>Juneteenth National Independence Day</t>
  </si>
  <si>
    <t>2026-06-19</t>
  </si>
  <si>
    <t>Independence Day</t>
  </si>
  <si>
    <t>2026-07-04</t>
  </si>
  <si>
    <t>Labor Day</t>
  </si>
  <si>
    <t>2026-09-07</t>
  </si>
  <si>
    <t>Columbus Day</t>
  </si>
  <si>
    <t>2026-10-12</t>
  </si>
  <si>
    <t>Veterans Day</t>
  </si>
  <si>
    <t>2026-11-11</t>
  </si>
  <si>
    <t>Thanksgiving Day</t>
  </si>
  <si>
    <t>2026-11-26</t>
  </si>
  <si>
    <t>Christmas Day</t>
  </si>
  <si>
    <t>2026-12-25</t>
  </si>
  <si>
    <t>2027-01-01</t>
  </si>
  <si>
    <t>2027-01-18</t>
  </si>
  <si>
    <t>2027-02-15</t>
  </si>
  <si>
    <t>2027-05-31</t>
  </si>
  <si>
    <t>2027-06-18</t>
  </si>
  <si>
    <t>2027-07-04</t>
  </si>
  <si>
    <t>2027-09-06</t>
  </si>
  <si>
    <t>2027-10-11</t>
  </si>
  <si>
    <t>2027-11-11</t>
  </si>
  <si>
    <t>2027-11-25</t>
  </si>
  <si>
    <t>2027-12-25</t>
  </si>
  <si>
    <t>2028-01-01</t>
  </si>
  <si>
    <t>2028-01-17</t>
  </si>
  <si>
    <t>2028-02-21</t>
  </si>
  <si>
    <t>2028-05-29</t>
  </si>
  <si>
    <t>2028-06-19</t>
  </si>
  <si>
    <t>2028-07-04</t>
  </si>
  <si>
    <t>2028-09-04</t>
  </si>
  <si>
    <t>2028-10-09</t>
  </si>
  <si>
    <t>2028-11-10</t>
  </si>
  <si>
    <t>2028-11-23</t>
  </si>
  <si>
    <t>2028-12-25</t>
  </si>
  <si>
    <t>new valuation ID=3</t>
  </si>
  <si>
    <t>trades retrieved</t>
  </si>
  <si>
    <t>Exception: fromisoformat: argument must be str 2026-04-17 00:00:00</t>
  </si>
  <si>
    <t>2026-01-01T12:15:03</t>
  </si>
  <si>
    <t>2 @ 2026-01-01 12:15:03</t>
  </si>
  <si>
    <t>2</t>
  </si>
  <si>
    <t>2026-02-21</t>
  </si>
  <si>
    <t>2026-08-21</t>
  </si>
  <si>
    <t>2026-02-23</t>
  </si>
  <si>
    <t>2026-08-23</t>
  </si>
  <si>
    <t>2027-08-01</t>
  </si>
  <si>
    <t>2027-08-03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</si>
</sst>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\ hh:mm:ss"/>
    <numFmt numFmtId="165" formatCode="0.000"/>
    <numFmt numFmtId="166" formatCode="yyyy\-mm\-dd;@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10" fontId="8" fillId="2" borderId="1" xfId="1" applyNumberFormat="1" applyFont="1" applyProtection="1">
      <protection locked="0"/>
    </xf>
    <xf numFmtId="164" fontId="5" fillId="0" borderId="0" xfId="0" applyNumberFormat="1" applyFont="1"/>
    <xf numFmtId="0" fontId="9" fillId="0" borderId="0" xfId="0" applyFont="1"/>
    <xf numFmtId="165" fontId="5" fillId="0" borderId="0" xfId="0" applyNumberFormat="1" applyFont="1"/>
    <xf numFmtId="165" fontId="6" fillId="0" borderId="0" xfId="0" applyNumberFormat="1" applyFont="1"/>
    <xf numFmtId="165" fontId="7" fillId="0" borderId="0" xfId="0" applyNumberFormat="1" applyFont="1"/>
    <xf numFmtId="0" fontId="10" fillId="0" borderId="0" xfId="0" applyFont="1"/>
    <xf numFmtId="0" fontId="4" fillId="0" borderId="0" xfId="0" applyFont="1"/>
    <xf numFmtId="0" fontId="4" fillId="0" borderId="0" xfId="2" applyFont="1" applyProtection="1"/>
    <xf numFmtId="0" fontId="9" fillId="0" borderId="0" xfId="2" applyFont="1" applyProtection="1"/>
    <xf numFmtId="165" fontId="5" fillId="3" borderId="0" xfId="0" applyNumberFormat="1" applyFont="1" applyFill="1"/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165" fontId="5" fillId="0" borderId="0" xfId="0" applyNumberFormat="1" applyFont="1" applyProtection="1">
      <protection locked="0"/>
    </xf>
    <xf numFmtId="0" fontId="4" fillId="0" borderId="0" xfId="2" applyFont="1" applyProtection="1">
      <protection locked="0"/>
    </xf>
    <xf numFmtId="0" fontId="9" fillId="0" borderId="0" xfId="2" applyFont="1" applyProtection="1">
      <protection locked="0"/>
    </xf>
    <xf numFmtId="165" fontId="5" fillId="3" borderId="0" xfId="0" applyNumberFormat="1" applyFont="1" applyFill="1" applyProtection="1">
      <protection locked="0"/>
    </xf>
    <xf numFmtId="0" fontId="5" fillId="0" borderId="0" xfId="0" quotePrefix="1" applyFont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0" fontId="4" fillId="3" borderId="0" xfId="2" applyFont="1" applyFill="1" applyProtection="1">
      <protection locked="0"/>
    </xf>
    <xf numFmtId="0" fontId="9" fillId="3" borderId="0" xfId="2" applyFont="1" applyFill="1" applyProtection="1">
      <protection locked="0"/>
    </xf>
    <xf numFmtId="14" fontId="5" fillId="0" borderId="0" xfId="0" applyNumberFormat="1" applyFont="1" applyProtection="1">
      <protection locked="0"/>
    </xf>
    <xf numFmtId="4" fontId="8" fillId="2" borderId="1" xfId="1" applyNumberFormat="1" applyFont="1" applyProtection="1">
      <protection locked="0"/>
    </xf>
    <xf numFmtId="166" fontId="0" fillId="0" borderId="0" xfId="0" applyNumberFormat="1"/>
    <xf numFmtId="0" fontId="1" fillId="2" borderId="1" xfId="1" applyAlignment="1" applyProtection="1">
      <protection locked="0"/>
    </xf>
    <xf numFmtId="0" fontId="1" fillId="2" borderId="1" xfId="1" applyAlignment="1"/>
    <xf numFmtId="0" fontId="8" fillId="2" borderId="1" xfId="1" applyFont="1" applyAlignment="1" applyProtection="1">
      <alignment horizontal="right"/>
      <protection locked="0"/>
    </xf>
    <xf numFmtId="14" fontId="8" fillId="2" borderId="2" xfId="1" applyNumberFormat="1" applyFont="1" applyBorder="1" applyAlignment="1"/>
  </cellXfs>
  <cellStyles count="3">
    <cellStyle name="Input" xfId="1" builtinId="20"/>
    <cellStyle name="Normal" xfId="0" builtinId="0"/>
    <cellStyle name="Warning Text" xfId="2" builtinId="11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9</xdr:col>
          <xdr:colOff>708660</xdr:colOff>
          <xdr:row>3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Value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</xdr:row>
          <xdr:rowOff>7620</xdr:rowOff>
        </xdr:from>
        <xdr:to>
          <xdr:col>9</xdr:col>
          <xdr:colOff>693420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Trade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hermes" adjustColumnWidth="0" connectionId="5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4">
      <queryTableField id="1" name="trade_ID" tableColumnId="1"/>
      <queryTableField id="2" name="leg" tableColumnId="2"/>
      <queryTableField id="3" name="portfolio_ID" tableColumnId="3"/>
      <queryTableField id="5" name="notional" tableColumnId="5"/>
      <queryTableField id="6" name="trade_type" tableColumnId="6"/>
      <queryTableField id="7" name="premium" tableColumnId="7"/>
      <queryTableField id="8" name="trade_date" tableColumnId="8"/>
      <queryTableField id="9" name="expiry_date" tableColumnId="9"/>
      <queryTableField id="10" name="strike" tableColumnId="10"/>
      <queryTableField id="11" name="barrier1" tableColumnId="11"/>
      <queryTableField id="12" name="barrier2" tableColumnId="12"/>
      <queryTableField id="13" name="settlement_date" tableColumnId="13"/>
      <queryTableField id="14" name="delivery_date" tableColumnId="14"/>
      <queryTableField id="15" name="model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trade_valuations" adjustColumnWidth="0" connectionId="4" xr16:uid="{00000000-0016-0000-0000-000001000000}" autoFormatId="16" applyNumberFormats="0" applyBorderFormats="0" applyFontFormats="0" applyPatternFormats="0" applyAlignmentFormats="0" applyWidthHeightFormats="0">
  <queryTableRefresh nextId="11">
    <queryTableFields count="10">
      <queryTableField id="1" name="valuation_ID" tableColumnId="1"/>
      <queryTableField id="2" name="trade_ID" tableColumnId="2"/>
      <queryTableField id="3" name="leg" tableColumnId="3"/>
      <queryTableField id="4" name="model" tableColumnId="4"/>
      <queryTableField id="5" name="PV" tableColumnId="5"/>
      <queryTableField id="6" name="delta" tableColumnId="6"/>
      <queryTableField id="7" name="gamma" tableColumnId="7"/>
      <queryTableField id="8" name="rho" tableColumnId="8"/>
      <queryTableField id="9" name="vega" tableColumnId="9"/>
      <queryTableField id="10" name="theta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hermes" connectionId="2" xr16:uid="{00000000-0016-0000-01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location" tableColumnId="1"/>
      <queryTableField id="2" name="reason" tableColumnId="2"/>
      <queryTableField id="3" name="non_business_day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portfolios" connectionId="3" xr16:uid="{00000000-0016-0000-0200-000003000000}" autoFormatId="16" applyNumberFormats="0" applyBorderFormats="0" applyFontFormats="0" applyPatternFormats="0" applyAlignmentFormats="0" applyWidthHeightFormats="0">
  <queryTableRefresh nextId="5">
    <queryTableFields count="3">
      <queryTableField id="1" name="ID" tableColumnId="1"/>
      <queryTableField id="2" name="name" tableColumnId="2"/>
      <queryTableField id="4" name="display_text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valuations_1" connectionId="6" xr16:uid="{00000000-0016-0000-0200-000004000000}" autoFormatId="16" applyNumberFormats="0" applyBorderFormats="0" applyFontFormats="0" applyPatternFormats="0" applyAlignmentFormats="0" applyWidthHeightFormats="0">
  <queryTableRefresh nextId="11">
    <queryTableFields count="7">
      <queryTableField id="1" name="portfolio_ID" tableColumnId="1"/>
      <queryTableField id="2" name="ID" tableColumnId="2"/>
      <queryTableField id="4" name="S" tableColumnId="4"/>
      <queryTableField id="5" name="rate" tableColumnId="5"/>
      <queryTableField id="6" name="vol" tableColumnId="6"/>
      <queryTableField id="9" name="display_text" tableColumnId="9"/>
      <queryTableField id="10" name="valuation_time)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current_valuation" connectionId="1" xr16:uid="{00000000-0016-0000-0200-000005000000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S" tableColumnId="2"/>
      <queryTableField id="3" name="rate" tableColumnId="3"/>
      <queryTableField id="4" name="vol" tableColumnId="4"/>
      <queryTableField id="5" name="display_tex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_Query_from_hermes4" displayName="Table_Query_from_hermes4" ref="L12:Y14" tableType="queryTable" totalsRowShown="0" headerRowDxfId="53" dataDxfId="52">
  <autoFilter ref="L12:Y14" xr:uid="{00000000-0009-0000-0100-000003000000}"/>
  <tableColumns count="14">
    <tableColumn id="1" xr3:uid="{00000000-0010-0000-0000-000001000000}" uniqueName="1" name="trade_ID" queryTableFieldId="1" dataDxfId="23"/>
    <tableColumn id="2" xr3:uid="{00000000-0010-0000-0000-000002000000}" uniqueName="2" name="leg" queryTableFieldId="2" dataDxfId="22"/>
    <tableColumn id="3" xr3:uid="{00000000-0010-0000-0000-000003000000}" uniqueName="3" name="portfolio_ID" queryTableFieldId="3" dataDxfId="21"/>
    <tableColumn id="5" xr3:uid="{00000000-0010-0000-0000-000005000000}" uniqueName="5" name="notional" queryTableFieldId="5" dataDxfId="20"/>
    <tableColumn id="6" xr3:uid="{00000000-0010-0000-0000-000006000000}" uniqueName="6" name="trade_type" queryTableFieldId="6" dataDxfId="19"/>
    <tableColumn id="7" xr3:uid="{00000000-0010-0000-0000-000007000000}" uniqueName="7" name="premium" queryTableFieldId="7" dataDxfId="18"/>
    <tableColumn id="8" xr3:uid="{00000000-0010-0000-0000-000008000000}" uniqueName="8" name="trade_date" queryTableFieldId="8" dataDxfId="17"/>
    <tableColumn id="9" xr3:uid="{00000000-0010-0000-0000-000009000000}" uniqueName="9" name="expiry_date" queryTableFieldId="9" dataDxfId="16"/>
    <tableColumn id="10" xr3:uid="{00000000-0010-0000-0000-00000A000000}" uniqueName="10" name="strike" queryTableFieldId="10" dataDxfId="15"/>
    <tableColumn id="11" xr3:uid="{00000000-0010-0000-0000-00000B000000}" uniqueName="11" name="barrier1" queryTableFieldId="11" dataDxfId="14"/>
    <tableColumn id="12" xr3:uid="{00000000-0010-0000-0000-00000C000000}" uniqueName="12" name="barrier2" queryTableFieldId="12" dataDxfId="13"/>
    <tableColumn id="13" xr3:uid="{00000000-0010-0000-0000-00000D000000}" uniqueName="13" name="settlement_date" queryTableFieldId="13" dataDxfId="12"/>
    <tableColumn id="14" xr3:uid="{00000000-0010-0000-0000-00000E000000}" uniqueName="14" name="delivery_date" queryTableFieldId="14" dataDxfId="11"/>
    <tableColumn id="15" xr3:uid="{00000000-0010-0000-0000-00000F000000}" uniqueName="15" name="model" queryTableFieldId="15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_Hermes_trade_valuations" displayName="Table_Hermes_trade_valuations" ref="A12:J13" tableType="queryTable" insertRow="1" totalsRowShown="0" headerRowDxfId="51" dataDxfId="50">
  <autoFilter ref="A12:J13" xr:uid="{00000000-0009-0000-0100-000005000000}"/>
  <tableColumns count="10">
    <tableColumn id="1" xr3:uid="{00000000-0010-0000-0100-000001000000}" uniqueName="1" name="valuation_ID" queryTableFieldId="1" dataDxfId="9"/>
    <tableColumn id="2" xr3:uid="{00000000-0010-0000-0100-000002000000}" uniqueName="2" name="trade_ID" queryTableFieldId="2" dataDxfId="8"/>
    <tableColumn id="3" xr3:uid="{00000000-0010-0000-0100-000003000000}" uniqueName="3" name="leg" queryTableFieldId="3" dataDxfId="7"/>
    <tableColumn id="4" xr3:uid="{00000000-0010-0000-0100-000004000000}" uniqueName="4" name="model" queryTableFieldId="4" dataDxfId="6"/>
    <tableColumn id="5" xr3:uid="{00000000-0010-0000-0100-000005000000}" uniqueName="5" name="PV" queryTableFieldId="5" dataDxfId="5"/>
    <tableColumn id="6" xr3:uid="{00000000-0010-0000-0100-000006000000}" uniqueName="6" name="delta" queryTableFieldId="6" dataDxfId="4"/>
    <tableColumn id="7" xr3:uid="{00000000-0010-0000-0100-000007000000}" uniqueName="7" name="gamma" queryTableFieldId="7" dataDxfId="3"/>
    <tableColumn id="8" xr3:uid="{00000000-0010-0000-0100-000008000000}" uniqueName="8" name="rho" queryTableFieldId="8" dataDxfId="2"/>
    <tableColumn id="9" xr3:uid="{00000000-0010-0000-0100-000009000000}" uniqueName="9" name="vega" queryTableFieldId="9" dataDxfId="1"/>
    <tableColumn id="10" xr3:uid="{00000000-0010-0000-0100-00000A000000}" uniqueName="10" name="theta" queryTableFieldId="10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Query_from_hermes" displayName="Table_Query_from_hermes" ref="A6:C39" tableType="queryTable" totalsRowShown="0" headerRowDxfId="49" dataDxfId="48">
  <autoFilter ref="A6:C39" xr:uid="{00000000-0009-0000-0100-000001000000}"/>
  <tableColumns count="3">
    <tableColumn id="1" xr3:uid="{00000000-0010-0000-0200-000001000000}" uniqueName="1" name="location" queryTableFieldId="1" dataDxfId="41"/>
    <tableColumn id="2" xr3:uid="{00000000-0010-0000-0200-000002000000}" uniqueName="2" name="reason" queryTableFieldId="2" dataDxfId="40"/>
    <tableColumn id="3" xr3:uid="{00000000-0010-0000-0200-000003000000}" uniqueName="3" name="non_business_day" queryTableFieldId="3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_Hermes_portfolios" displayName="Table_Hermes_portfolios" ref="E3:G5" tableType="queryTable" totalsRowShown="0" headerRowDxfId="47" dataDxfId="46">
  <autoFilter ref="E3:G5" xr:uid="{00000000-0009-0000-0100-000002000000}"/>
  <tableColumns count="3">
    <tableColumn id="1" xr3:uid="{00000000-0010-0000-0300-000001000000}" uniqueName="1" name="ID" queryTableFieldId="1" dataDxfId="31"/>
    <tableColumn id="2" xr3:uid="{00000000-0010-0000-0300-000002000000}" uniqueName="2" name="name" queryTableFieldId="2" dataDxfId="30"/>
    <tableColumn id="3" xr3:uid="{00000000-0010-0000-0300-000003000000}" uniqueName="3" name="display_text" queryTableFieldId="4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_Hermes_valuations" displayName="Table_Hermes_valuations" ref="J3:P4" tableType="queryTable" totalsRowShown="0" headerRowDxfId="45" dataDxfId="44">
  <autoFilter ref="J3:P4" xr:uid="{00000000-0009-0000-0100-000004000000}"/>
  <tableColumns count="7">
    <tableColumn id="1" xr3:uid="{00000000-0010-0000-0400-000001000000}" uniqueName="1" name="portfolio_ID" queryTableFieldId="1" dataDxfId="38"/>
    <tableColumn id="2" xr3:uid="{00000000-0010-0000-0400-000002000000}" uniqueName="2" name="ID" queryTableFieldId="2" dataDxfId="37"/>
    <tableColumn id="4" xr3:uid="{00000000-0010-0000-0400-000004000000}" uniqueName="4" name="S" queryTableFieldId="4" dataDxfId="36"/>
    <tableColumn id="5" xr3:uid="{00000000-0010-0000-0400-000005000000}" uniqueName="5" name="rate" queryTableFieldId="5" dataDxfId="35"/>
    <tableColumn id="6" xr3:uid="{00000000-0010-0000-0400-000006000000}" uniqueName="6" name="vol" queryTableFieldId="6" dataDxfId="34"/>
    <tableColumn id="9" xr3:uid="{00000000-0010-0000-0400-000009000000}" uniqueName="9" name="display_text" queryTableFieldId="9" dataDxfId="33"/>
    <tableColumn id="3" xr3:uid="{00000000-0010-0000-0400-000003000000}" uniqueName="3" name="valuation_time)" queryTableFieldId="10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Hermes_current_valuation" displayName="Table_Hermes_current_valuation" ref="S3:W4" tableType="queryTable" totalsRowShown="0" headerRowDxfId="43" dataDxfId="42">
  <autoFilter ref="S3:W4" xr:uid="{00000000-0009-0000-0100-000006000000}"/>
  <tableColumns count="5">
    <tableColumn id="1" xr3:uid="{00000000-0010-0000-0500-000001000000}" uniqueName="1" name="ID" queryTableFieldId="1" dataDxfId="28"/>
    <tableColumn id="2" xr3:uid="{00000000-0010-0000-0500-000002000000}" uniqueName="2" name="S" queryTableFieldId="2" dataDxfId="27"/>
    <tableColumn id="3" xr3:uid="{00000000-0010-0000-0500-000003000000}" uniqueName="3" name="rate" queryTableFieldId="3" dataDxfId="26"/>
    <tableColumn id="4" xr3:uid="{00000000-0010-0000-0500-000004000000}" uniqueName="4" name="vol" queryTableFieldId="4" dataDxfId="25"/>
    <tableColumn id="5" xr3:uid="{00000000-0010-0000-0500-000005000000}" uniqueName="5" name="display_text" queryTableFieldId="5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8"/>
  <sheetViews>
    <sheetView tabSelected="1" topLeftCell="B1" zoomScale="108" workbookViewId="0">
      <selection activeCell="C7" sqref="C7"/>
    </sheetView>
  </sheetViews>
  <sheetFormatPr defaultColWidth="9.109375" defaultRowHeight="13.8" x14ac:dyDescent="0.3"/>
  <cols>
    <col min="1" max="1" width="2.109375" style="15" hidden="1" customWidth="1"/>
    <col min="2" max="2" width="10" style="16" customWidth="1"/>
    <col min="3" max="3" width="12.88671875" style="16" customWidth="1"/>
    <col min="4" max="4" width="8.33203125" style="16" customWidth="1"/>
    <col min="5" max="10" width="10.6640625" style="17" customWidth="1"/>
    <col min="11" max="11" width="3" style="16" customWidth="1"/>
    <col min="12" max="14" width="0.109375" style="15" customWidth="1"/>
    <col min="15" max="15" width="11.5546875" style="16" customWidth="1"/>
    <col min="16" max="16" width="9.6640625" style="16" customWidth="1"/>
    <col min="17" max="17" width="12" style="16" customWidth="1"/>
    <col min="18" max="18" width="10.5546875" style="17" customWidth="1"/>
    <col min="19" max="19" width="12" style="16" customWidth="1"/>
    <col min="20" max="20" width="12.5546875" style="16" customWidth="1"/>
    <col min="21" max="21" width="7.6640625" style="17" customWidth="1"/>
    <col min="22" max="23" width="9.6640625" style="16" customWidth="1"/>
    <col min="24" max="24" width="16.6640625" style="16" customWidth="1"/>
    <col min="25" max="25" width="14" style="16" customWidth="1"/>
    <col min="26" max="26" width="8.33203125" style="16" customWidth="1"/>
    <col min="27" max="27" width="8.6640625" style="15" customWidth="1"/>
    <col min="28" max="28" width="6.44140625" style="15" customWidth="1"/>
    <col min="29" max="29" width="7.6640625" style="18" customWidth="1"/>
    <col min="30" max="30" width="9.33203125" style="19" customWidth="1"/>
    <col min="31" max="31" width="11.6640625" style="19" bestFit="1" customWidth="1"/>
    <col min="32" max="32" width="9.5546875" style="19" customWidth="1"/>
    <col min="33" max="33" width="10.33203125" style="16" customWidth="1"/>
    <col min="34" max="34" width="10.6640625" style="16" bestFit="1" customWidth="1"/>
    <col min="35" max="35" width="10.88671875" style="16" customWidth="1"/>
    <col min="36" max="36" width="10.6640625" style="16" bestFit="1" customWidth="1"/>
    <col min="37" max="37" width="11.5546875" style="16" bestFit="1" customWidth="1"/>
    <col min="38" max="38" width="10.33203125" style="16" customWidth="1"/>
    <col min="39" max="41" width="10.6640625" style="16" customWidth="1"/>
    <col min="42" max="42" width="13.44140625" style="16" bestFit="1" customWidth="1"/>
    <col min="43" max="16384" width="9.109375" style="16"/>
  </cols>
  <sheetData>
    <row r="1" spans="1:42" s="1" customFormat="1" x14ac:dyDescent="0.3">
      <c r="A1" s="11"/>
      <c r="D1" s="2" t="s">
        <v>6</v>
      </c>
      <c r="E1" s="7"/>
      <c r="F1" s="8"/>
      <c r="G1" s="7"/>
      <c r="H1" s="7"/>
      <c r="I1" s="7"/>
      <c r="J1" s="7"/>
      <c r="L1" s="11"/>
      <c r="M1" s="11"/>
      <c r="N1" s="11"/>
      <c r="R1" s="7"/>
      <c r="U1" s="7"/>
      <c r="AA1" s="11"/>
      <c r="AB1" s="11"/>
      <c r="AC1" s="12"/>
      <c r="AD1" s="13"/>
      <c r="AE1" s="13"/>
      <c r="AF1" s="13"/>
    </row>
    <row r="2" spans="1:42" s="1" customFormat="1" x14ac:dyDescent="0.3">
      <c r="A2" s="11"/>
      <c r="E2" s="7"/>
      <c r="F2" s="7"/>
      <c r="G2" s="7"/>
      <c r="H2" s="7"/>
      <c r="I2" s="7"/>
      <c r="J2" s="7"/>
      <c r="L2" s="11"/>
      <c r="M2" s="11"/>
      <c r="N2" s="11"/>
      <c r="R2" s="7"/>
      <c r="U2" s="7"/>
      <c r="AA2" s="11"/>
      <c r="AB2" s="11"/>
      <c r="AC2" s="12"/>
      <c r="AD2" s="13"/>
      <c r="AE2" s="13"/>
      <c r="AF2" s="13"/>
    </row>
    <row r="3" spans="1:42" s="1" customFormat="1" ht="12.75" customHeight="1" x14ac:dyDescent="0.3">
      <c r="A3" s="11"/>
      <c r="B3" s="3" t="s">
        <v>7</v>
      </c>
      <c r="C3" s="27">
        <v>7068.25</v>
      </c>
      <c r="E3" s="9" t="s">
        <v>35</v>
      </c>
      <c r="F3" s="29" t="s">
        <v>63</v>
      </c>
      <c r="G3" s="29"/>
      <c r="H3" s="30"/>
      <c r="I3" s="7"/>
      <c r="J3" s="7"/>
      <c r="L3" s="11"/>
      <c r="M3" s="11"/>
      <c r="N3" s="11"/>
      <c r="R3" s="7"/>
      <c r="U3" s="7"/>
      <c r="AA3" s="11"/>
      <c r="AB3" s="11"/>
      <c r="AC3" s="12"/>
      <c r="AD3" s="13"/>
      <c r="AE3" s="13"/>
      <c r="AF3" s="13"/>
    </row>
    <row r="4" spans="1:42" s="1" customFormat="1" ht="12.75" customHeight="1" x14ac:dyDescent="0.3">
      <c r="A4" s="11"/>
      <c r="B4" s="3" t="s">
        <v>8</v>
      </c>
      <c r="C4" s="4">
        <v>0.1812</v>
      </c>
      <c r="E4" s="7"/>
      <c r="F4" s="7"/>
      <c r="G4" s="7"/>
      <c r="H4" s="7"/>
      <c r="I4" s="7"/>
      <c r="J4" s="7"/>
      <c r="L4" s="11"/>
      <c r="M4" s="11"/>
      <c r="N4" s="11"/>
      <c r="R4" s="7"/>
      <c r="U4" s="7"/>
      <c r="AA4" s="11"/>
      <c r="AB4" s="11"/>
      <c r="AC4" s="12"/>
      <c r="AD4" s="13"/>
      <c r="AE4" s="13"/>
      <c r="AF4" s="13"/>
    </row>
    <row r="5" spans="1:42" s="1" customFormat="1" ht="12.75" customHeight="1" x14ac:dyDescent="0.3">
      <c r="A5" s="11"/>
      <c r="B5" s="3" t="s">
        <v>9</v>
      </c>
      <c r="C5" s="4">
        <v>3.6400000000000002E-2</v>
      </c>
      <c r="E5" s="9" t="s">
        <v>34</v>
      </c>
      <c r="F5" s="29" t="s">
        <v>114</v>
      </c>
      <c r="G5" s="29"/>
      <c r="H5" s="30"/>
      <c r="I5" s="7"/>
      <c r="J5" s="7"/>
      <c r="L5" s="11"/>
      <c r="M5" s="11"/>
      <c r="N5" s="11"/>
      <c r="Q5"/>
      <c r="R5" s="7"/>
      <c r="U5" s="7"/>
      <c r="AA5" s="11"/>
      <c r="AB5" s="11"/>
      <c r="AC5" s="12"/>
      <c r="AD5" s="13"/>
      <c r="AE5" s="13"/>
      <c r="AF5" s="13"/>
    </row>
    <row r="6" spans="1:42" s="1" customFormat="1" x14ac:dyDescent="0.3">
      <c r="A6" s="11"/>
      <c r="B6" s="3" t="s">
        <v>10</v>
      </c>
      <c r="C6" s="31" t="s">
        <v>66</v>
      </c>
      <c r="E6" s="7"/>
      <c r="F6" s="7"/>
      <c r="G6" s="7"/>
      <c r="H6" s="7"/>
      <c r="I6" s="7"/>
      <c r="J6" s="7"/>
      <c r="L6" s="11"/>
      <c r="M6" s="11"/>
      <c r="N6" s="11"/>
      <c r="Q6" s="1" t="s">
        <v>110</v>
      </c>
      <c r="R6" s="7"/>
      <c r="U6" s="7"/>
      <c r="AA6" s="11"/>
      <c r="AB6" s="11"/>
      <c r="AC6" s="12"/>
      <c r="AD6" s="13"/>
      <c r="AE6" s="13"/>
      <c r="AF6" s="13"/>
    </row>
    <row r="7" spans="1:42" s="1" customFormat="1" ht="14.4" x14ac:dyDescent="0.3">
      <c r="A7" s="11"/>
      <c r="B7" s="2" t="s">
        <v>67</v>
      </c>
      <c r="C7" s="32">
        <v>46129.5</v>
      </c>
      <c r="D7" s="28"/>
      <c r="E7" s="7"/>
      <c r="F7" s="7"/>
      <c r="G7" s="7"/>
      <c r="H7" s="7"/>
      <c r="I7" s="7"/>
      <c r="J7" s="7"/>
      <c r="L7" s="11"/>
      <c r="M7" s="11"/>
      <c r="N7" s="11"/>
      <c r="Q7" s="1" t="s">
        <v>111</v>
      </c>
      <c r="R7" s="7"/>
      <c r="U7" s="7"/>
      <c r="AA7" s="11"/>
      <c r="AB7" s="11"/>
      <c r="AC7" s="12"/>
      <c r="AD7" s="13"/>
      <c r="AE7" s="13"/>
      <c r="AF7" s="13"/>
    </row>
    <row r="8" spans="1:42" s="1" customFormat="1" x14ac:dyDescent="0.3">
      <c r="A8" s="11"/>
      <c r="E8" s="7"/>
      <c r="F8" s="7"/>
      <c r="G8" s="7"/>
      <c r="H8" s="7"/>
      <c r="I8" s="7"/>
      <c r="J8" s="7"/>
      <c r="L8" s="11"/>
      <c r="M8" s="11"/>
      <c r="N8" s="11"/>
      <c r="Q8" s="1" t="s">
        <v>112</v>
      </c>
      <c r="R8" s="7"/>
      <c r="U8" s="7"/>
      <c r="AA8" s="11"/>
      <c r="AB8" s="11"/>
      <c r="AC8" s="12"/>
      <c r="AD8" s="13"/>
      <c r="AE8" s="13"/>
      <c r="AF8" s="13"/>
    </row>
    <row r="9" spans="1:42" s="1" customFormat="1" x14ac:dyDescent="0.3">
      <c r="A9" s="11"/>
      <c r="E9" s="14" t="s">
        <v>27</v>
      </c>
      <c r="F9" s="14" t="s">
        <v>28</v>
      </c>
      <c r="G9" s="14" t="s">
        <v>29</v>
      </c>
      <c r="H9" s="14" t="s">
        <v>30</v>
      </c>
      <c r="I9" s="14" t="s">
        <v>31</v>
      </c>
      <c r="J9" s="14" t="s">
        <v>32</v>
      </c>
      <c r="L9" s="11"/>
      <c r="M9" s="11"/>
      <c r="N9" s="11"/>
      <c r="R9" s="7"/>
      <c r="U9" s="7"/>
      <c r="AA9" s="11"/>
      <c r="AB9" s="11"/>
      <c r="AC9" s="12"/>
      <c r="AD9" s="13"/>
      <c r="AE9" s="13"/>
      <c r="AF9" s="13"/>
    </row>
    <row r="10" spans="1:42" x14ac:dyDescent="0.3">
      <c r="D10" s="21"/>
      <c r="E10" s="17">
        <f>SUM(E14:E9997)</f>
        <v>0</v>
      </c>
      <c r="F10" s="17">
        <f>SUM(F14:F9997)</f>
        <v>0</v>
      </c>
      <c r="G10" s="17">
        <f>SUM(G14:G9997)</f>
        <v>0</v>
      </c>
      <c r="H10" s="17">
        <f>SUM(H14:H9997)</f>
        <v>0</v>
      </c>
      <c r="I10" s="17">
        <f>SUM(I14:I9997)</f>
        <v>0</v>
      </c>
      <c r="J10" s="17">
        <f>SUM(J14:J9997)</f>
        <v>0</v>
      </c>
    </row>
    <row r="12" spans="1:42" s="22" customFormat="1" x14ac:dyDescent="0.3">
      <c r="A12" s="22" t="s">
        <v>25</v>
      </c>
      <c r="B12" s="22" t="s">
        <v>11</v>
      </c>
      <c r="C12" s="22" t="s">
        <v>12</v>
      </c>
      <c r="D12" s="22" t="s">
        <v>26</v>
      </c>
      <c r="E12" s="20" t="s">
        <v>27</v>
      </c>
      <c r="F12" s="20" t="s">
        <v>28</v>
      </c>
      <c r="G12" s="20" t="s">
        <v>29</v>
      </c>
      <c r="H12" s="20" t="s">
        <v>30</v>
      </c>
      <c r="I12" s="20" t="s">
        <v>31</v>
      </c>
      <c r="J12" s="20" t="s">
        <v>32</v>
      </c>
      <c r="L12" s="23" t="s">
        <v>11</v>
      </c>
      <c r="M12" s="23" t="s">
        <v>12</v>
      </c>
      <c r="N12" s="23" t="s">
        <v>13</v>
      </c>
      <c r="O12" s="22" t="s">
        <v>14</v>
      </c>
      <c r="P12" s="22" t="s">
        <v>15</v>
      </c>
      <c r="Q12" s="20" t="s">
        <v>16</v>
      </c>
      <c r="R12" s="22" t="s">
        <v>17</v>
      </c>
      <c r="S12" s="22" t="s">
        <v>18</v>
      </c>
      <c r="T12" s="20" t="s">
        <v>19</v>
      </c>
      <c r="U12" s="22" t="s">
        <v>20</v>
      </c>
      <c r="V12" s="22" t="s">
        <v>21</v>
      </c>
      <c r="W12" s="22" t="s">
        <v>22</v>
      </c>
      <c r="X12" s="22" t="s">
        <v>23</v>
      </c>
      <c r="Y12" s="22" t="s">
        <v>26</v>
      </c>
      <c r="Z12" s="23"/>
      <c r="AA12" s="23"/>
      <c r="AB12" s="24"/>
      <c r="AC12" s="25"/>
      <c r="AD12" s="25"/>
      <c r="AE12" s="25"/>
    </row>
    <row r="13" spans="1:42" x14ac:dyDescent="0.3">
      <c r="L13" s="15">
        <v>5</v>
      </c>
      <c r="M13" s="15">
        <v>1</v>
      </c>
      <c r="N13" s="15" t="s">
        <v>115</v>
      </c>
      <c r="O13" s="16">
        <v>10000</v>
      </c>
      <c r="P13" s="16" t="s">
        <v>24</v>
      </c>
      <c r="Q13" s="17">
        <v>3260</v>
      </c>
      <c r="R13" s="26" t="s">
        <v>116</v>
      </c>
      <c r="S13" s="26" t="s">
        <v>117</v>
      </c>
      <c r="T13" s="17">
        <v>7600</v>
      </c>
      <c r="U13" s="16"/>
      <c r="W13" s="26" t="s">
        <v>118</v>
      </c>
      <c r="X13" s="26" t="s">
        <v>119</v>
      </c>
      <c r="Y13" s="16" t="s">
        <v>47</v>
      </c>
      <c r="Z13" s="15"/>
      <c r="AB13" s="18"/>
      <c r="AC13" s="19"/>
      <c r="AF13" s="26"/>
      <c r="AG13" s="26"/>
      <c r="AH13" s="26"/>
      <c r="AI13" s="26"/>
      <c r="AJ13" s="26"/>
      <c r="AK13" s="26"/>
      <c r="AL13" s="26"/>
      <c r="AM13" s="26"/>
      <c r="AN13" s="26"/>
      <c r="AO13" s="26"/>
    </row>
    <row r="14" spans="1:42" x14ac:dyDescent="0.3">
      <c r="L14" s="15">
        <v>6</v>
      </c>
      <c r="M14" s="15">
        <v>1</v>
      </c>
      <c r="N14" s="15" t="s">
        <v>115</v>
      </c>
      <c r="O14" s="16">
        <v>260000</v>
      </c>
      <c r="P14" s="16" t="s">
        <v>24</v>
      </c>
      <c r="Q14" s="17">
        <v>9720</v>
      </c>
      <c r="R14" s="26" t="s">
        <v>49</v>
      </c>
      <c r="S14" s="26" t="s">
        <v>120</v>
      </c>
      <c r="T14" s="17">
        <v>7700</v>
      </c>
      <c r="U14" s="16"/>
      <c r="W14" s="26" t="s">
        <v>50</v>
      </c>
      <c r="X14" s="26" t="s">
        <v>121</v>
      </c>
      <c r="Y14" s="16" t="s">
        <v>47</v>
      </c>
      <c r="Z14" s="15"/>
      <c r="AB14" s="18"/>
      <c r="AC14" s="19"/>
      <c r="AF14" s="26"/>
      <c r="AG14" s="26"/>
      <c r="AH14" s="26"/>
      <c r="AI14" s="26"/>
      <c r="AJ14" s="26"/>
      <c r="AK14" s="26"/>
      <c r="AL14" s="26"/>
      <c r="AM14" s="26"/>
      <c r="AN14" s="26"/>
      <c r="AO14" s="26"/>
    </row>
    <row r="15" spans="1:42" x14ac:dyDescent="0.3">
      <c r="AG15" s="26"/>
      <c r="AH15" s="26"/>
      <c r="AI15" s="26"/>
      <c r="AJ15" s="26"/>
      <c r="AK15" s="26"/>
      <c r="AL15" s="26"/>
      <c r="AM15" s="26"/>
      <c r="AN15" s="26"/>
      <c r="AO15" s="26"/>
      <c r="AP15" s="26"/>
    </row>
    <row r="16" spans="1:42" x14ac:dyDescent="0.3"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spans="36:42" x14ac:dyDescent="0.3">
      <c r="AJ17" s="26"/>
      <c r="AK17" s="26"/>
      <c r="AO17" s="26"/>
      <c r="AP17" s="26"/>
    </row>
    <row r="18" spans="36:42" x14ac:dyDescent="0.3">
      <c r="AJ18" s="26"/>
      <c r="AK18" s="26"/>
      <c r="AO18" s="26"/>
      <c r="AP18" s="26"/>
    </row>
  </sheetData>
  <sheetProtection selectLockedCells="1" selectUnlockedCells="1"/>
  <dataConsolidate/>
  <mergeCells count="2">
    <mergeCell ref="F3:H3"/>
    <mergeCell ref="F5:H5"/>
  </mergeCells>
  <dataValidations count="2">
    <dataValidation type="list" allowBlank="1" showInputMessage="1" showErrorMessage="1" sqref="F3:G3" xr:uid="{00000000-0002-0000-0000-000000000000}">
      <formula1>INDIRECT("Table_Hermes_portfolios[display_text]")</formula1>
    </dataValidation>
    <dataValidation type="list" allowBlank="1" showInputMessage="1" showErrorMessage="1" sqref="F5:G5" xr:uid="{00000000-0002-0000-0000-000001000000}">
      <formula1>INDIRECT("Table_hermes_valuations[display_text]")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locked="0" defaultSize="0" print="0" autoFill="0" autoPict="0" macro="[0]!Sheet1.revalue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9</xdr:col>
                    <xdr:colOff>708660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locked="0" defaultSize="0" print="0" autoFill="0" autoPict="0" macro="[0]!Sheet1.create_new_trades">
                <anchor moveWithCells="1" sizeWithCells="1">
                  <from>
                    <xdr:col>9</xdr:col>
                    <xdr:colOff>7620</xdr:colOff>
                    <xdr:row>4</xdr:row>
                    <xdr:rowOff>7620</xdr:rowOff>
                  </from>
                  <to>
                    <xdr:col>9</xdr:col>
                    <xdr:colOff>693420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Hidden!$R$4:$R$100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39"/>
  <sheetViews>
    <sheetView workbookViewId="0">
      <selection activeCell="C7" sqref="C7"/>
    </sheetView>
  </sheetViews>
  <sheetFormatPr defaultColWidth="9.109375" defaultRowHeight="13.8" x14ac:dyDescent="0.3"/>
  <cols>
    <col min="1" max="1" width="9.44140625" style="1" customWidth="1"/>
    <col min="2" max="2" width="31.6640625" style="1" bestFit="1" customWidth="1"/>
    <col min="3" max="3" width="17.6640625" style="1" bestFit="1" customWidth="1"/>
    <col min="4" max="16384" width="9.109375" style="1"/>
  </cols>
  <sheetData>
    <row r="2" spans="1:3" x14ac:dyDescent="0.3">
      <c r="A2" s="2" t="s">
        <v>0</v>
      </c>
    </row>
    <row r="4" spans="1:3" x14ac:dyDescent="0.3">
      <c r="A4" s="1" t="s">
        <v>1</v>
      </c>
      <c r="B4" s="1" t="s">
        <v>33</v>
      </c>
    </row>
    <row r="6" spans="1:3" x14ac:dyDescent="0.3">
      <c r="A6" s="1" t="s">
        <v>2</v>
      </c>
      <c r="B6" s="1" t="s">
        <v>3</v>
      </c>
      <c r="C6" s="1" t="s">
        <v>4</v>
      </c>
    </row>
    <row r="7" spans="1:3" x14ac:dyDescent="0.3">
      <c r="A7" s="1" t="s">
        <v>33</v>
      </c>
      <c r="B7" s="1" t="s">
        <v>68</v>
      </c>
      <c r="C7" s="1" t="s">
        <v>64</v>
      </c>
    </row>
    <row r="8" spans="1:3" x14ac:dyDescent="0.3">
      <c r="A8" s="1" t="s">
        <v>33</v>
      </c>
      <c r="B8" s="1" t="s">
        <v>69</v>
      </c>
      <c r="C8" s="1" t="s">
        <v>70</v>
      </c>
    </row>
    <row r="9" spans="1:3" x14ac:dyDescent="0.3">
      <c r="A9" s="1" t="s">
        <v>33</v>
      </c>
      <c r="B9" s="1" t="s">
        <v>71</v>
      </c>
      <c r="C9" s="1" t="s">
        <v>65</v>
      </c>
    </row>
    <row r="10" spans="1:3" x14ac:dyDescent="0.3">
      <c r="A10" s="1" t="s">
        <v>33</v>
      </c>
      <c r="B10" s="1" t="s">
        <v>72</v>
      </c>
      <c r="C10" s="1" t="s">
        <v>73</v>
      </c>
    </row>
    <row r="11" spans="1:3" x14ac:dyDescent="0.3">
      <c r="A11" s="1" t="s">
        <v>33</v>
      </c>
      <c r="B11" s="1" t="s">
        <v>74</v>
      </c>
      <c r="C11" s="1" t="s">
        <v>75</v>
      </c>
    </row>
    <row r="12" spans="1:3" x14ac:dyDescent="0.3">
      <c r="A12" s="1" t="s">
        <v>33</v>
      </c>
      <c r="B12" s="1" t="s">
        <v>76</v>
      </c>
      <c r="C12" s="1" t="s">
        <v>77</v>
      </c>
    </row>
    <row r="13" spans="1:3" x14ac:dyDescent="0.3">
      <c r="A13" s="1" t="s">
        <v>33</v>
      </c>
      <c r="B13" s="1" t="s">
        <v>78</v>
      </c>
      <c r="C13" s="1" t="s">
        <v>79</v>
      </c>
    </row>
    <row r="14" spans="1:3" x14ac:dyDescent="0.3">
      <c r="A14" s="1" t="s">
        <v>33</v>
      </c>
      <c r="B14" s="1" t="s">
        <v>80</v>
      </c>
      <c r="C14" s="1" t="s">
        <v>81</v>
      </c>
    </row>
    <row r="15" spans="1:3" x14ac:dyDescent="0.3">
      <c r="A15" s="1" t="s">
        <v>33</v>
      </c>
      <c r="B15" s="1" t="s">
        <v>82</v>
      </c>
      <c r="C15" s="1" t="s">
        <v>83</v>
      </c>
    </row>
    <row r="16" spans="1:3" x14ac:dyDescent="0.3">
      <c r="A16" s="1" t="s">
        <v>33</v>
      </c>
      <c r="B16" s="1" t="s">
        <v>84</v>
      </c>
      <c r="C16" s="1" t="s">
        <v>85</v>
      </c>
    </row>
    <row r="17" spans="1:3" x14ac:dyDescent="0.3">
      <c r="A17" s="1" t="s">
        <v>33</v>
      </c>
      <c r="B17" s="1" t="s">
        <v>86</v>
      </c>
      <c r="C17" s="1" t="s">
        <v>87</v>
      </c>
    </row>
    <row r="18" spans="1:3" x14ac:dyDescent="0.3">
      <c r="A18" s="1" t="s">
        <v>33</v>
      </c>
      <c r="B18" s="1" t="s">
        <v>68</v>
      </c>
      <c r="C18" s="1" t="s">
        <v>88</v>
      </c>
    </row>
    <row r="19" spans="1:3" x14ac:dyDescent="0.3">
      <c r="A19" s="1" t="s">
        <v>33</v>
      </c>
      <c r="B19" s="1" t="s">
        <v>69</v>
      </c>
      <c r="C19" s="1" t="s">
        <v>89</v>
      </c>
    </row>
    <row r="20" spans="1:3" x14ac:dyDescent="0.3">
      <c r="A20" s="1" t="s">
        <v>33</v>
      </c>
      <c r="B20" s="1" t="s">
        <v>71</v>
      </c>
      <c r="C20" s="1" t="s">
        <v>90</v>
      </c>
    </row>
    <row r="21" spans="1:3" x14ac:dyDescent="0.3">
      <c r="A21" s="1" t="s">
        <v>33</v>
      </c>
      <c r="B21" s="1" t="s">
        <v>72</v>
      </c>
      <c r="C21" s="1" t="s">
        <v>91</v>
      </c>
    </row>
    <row r="22" spans="1:3" x14ac:dyDescent="0.3">
      <c r="A22" s="1" t="s">
        <v>33</v>
      </c>
      <c r="B22" s="1" t="s">
        <v>74</v>
      </c>
      <c r="C22" s="1" t="s">
        <v>92</v>
      </c>
    </row>
    <row r="23" spans="1:3" x14ac:dyDescent="0.3">
      <c r="A23" s="1" t="s">
        <v>33</v>
      </c>
      <c r="B23" s="1" t="s">
        <v>76</v>
      </c>
      <c r="C23" s="1" t="s">
        <v>93</v>
      </c>
    </row>
    <row r="24" spans="1:3" x14ac:dyDescent="0.3">
      <c r="A24" s="1" t="s">
        <v>33</v>
      </c>
      <c r="B24" s="1" t="s">
        <v>78</v>
      </c>
      <c r="C24" s="1" t="s">
        <v>94</v>
      </c>
    </row>
    <row r="25" spans="1:3" x14ac:dyDescent="0.3">
      <c r="A25" s="1" t="s">
        <v>33</v>
      </c>
      <c r="B25" s="1" t="s">
        <v>80</v>
      </c>
      <c r="C25" s="1" t="s">
        <v>95</v>
      </c>
    </row>
    <row r="26" spans="1:3" x14ac:dyDescent="0.3">
      <c r="A26" s="1" t="s">
        <v>33</v>
      </c>
      <c r="B26" s="1" t="s">
        <v>82</v>
      </c>
      <c r="C26" s="1" t="s">
        <v>96</v>
      </c>
    </row>
    <row r="27" spans="1:3" x14ac:dyDescent="0.3">
      <c r="A27" s="1" t="s">
        <v>33</v>
      </c>
      <c r="B27" s="1" t="s">
        <v>84</v>
      </c>
      <c r="C27" s="1" t="s">
        <v>97</v>
      </c>
    </row>
    <row r="28" spans="1:3" x14ac:dyDescent="0.3">
      <c r="A28" s="1" t="s">
        <v>33</v>
      </c>
      <c r="B28" s="1" t="s">
        <v>86</v>
      </c>
      <c r="C28" s="1" t="s">
        <v>98</v>
      </c>
    </row>
    <row r="29" spans="1:3" x14ac:dyDescent="0.3">
      <c r="A29" s="1" t="s">
        <v>33</v>
      </c>
      <c r="B29" s="1" t="s">
        <v>68</v>
      </c>
      <c r="C29" s="1" t="s">
        <v>99</v>
      </c>
    </row>
    <row r="30" spans="1:3" x14ac:dyDescent="0.3">
      <c r="A30" s="1" t="s">
        <v>33</v>
      </c>
      <c r="B30" s="1" t="s">
        <v>69</v>
      </c>
      <c r="C30" s="1" t="s">
        <v>100</v>
      </c>
    </row>
    <row r="31" spans="1:3" x14ac:dyDescent="0.3">
      <c r="A31" s="1" t="s">
        <v>33</v>
      </c>
      <c r="B31" s="1" t="s">
        <v>71</v>
      </c>
      <c r="C31" s="1" t="s">
        <v>101</v>
      </c>
    </row>
    <row r="32" spans="1:3" x14ac:dyDescent="0.3">
      <c r="A32" s="1" t="s">
        <v>33</v>
      </c>
      <c r="B32" s="1" t="s">
        <v>72</v>
      </c>
      <c r="C32" s="1" t="s">
        <v>102</v>
      </c>
    </row>
    <row r="33" spans="1:3" x14ac:dyDescent="0.3">
      <c r="A33" s="1" t="s">
        <v>33</v>
      </c>
      <c r="B33" s="1" t="s">
        <v>74</v>
      </c>
      <c r="C33" s="1" t="s">
        <v>103</v>
      </c>
    </row>
    <row r="34" spans="1:3" x14ac:dyDescent="0.3">
      <c r="A34" s="1" t="s">
        <v>33</v>
      </c>
      <c r="B34" s="1" t="s">
        <v>76</v>
      </c>
      <c r="C34" s="1" t="s">
        <v>104</v>
      </c>
    </row>
    <row r="35" spans="1:3" x14ac:dyDescent="0.3">
      <c r="A35" s="1" t="s">
        <v>33</v>
      </c>
      <c r="B35" s="1" t="s">
        <v>78</v>
      </c>
      <c r="C35" s="1" t="s">
        <v>105</v>
      </c>
    </row>
    <row r="36" spans="1:3" x14ac:dyDescent="0.3">
      <c r="A36" s="1" t="s">
        <v>33</v>
      </c>
      <c r="B36" s="1" t="s">
        <v>80</v>
      </c>
      <c r="C36" s="1" t="s">
        <v>106</v>
      </c>
    </row>
    <row r="37" spans="1:3" x14ac:dyDescent="0.3">
      <c r="A37" s="1" t="s">
        <v>33</v>
      </c>
      <c r="B37" s="1" t="s">
        <v>82</v>
      </c>
      <c r="C37" s="1" t="s">
        <v>107</v>
      </c>
    </row>
    <row r="38" spans="1:3" x14ac:dyDescent="0.3">
      <c r="A38" s="1" t="s">
        <v>33</v>
      </c>
      <c r="B38" s="1" t="s">
        <v>84</v>
      </c>
      <c r="C38" s="1" t="s">
        <v>108</v>
      </c>
    </row>
    <row r="39" spans="1:3" x14ac:dyDescent="0.3">
      <c r="A39" s="1" t="s">
        <v>33</v>
      </c>
      <c r="B39" s="1" t="s">
        <v>86</v>
      </c>
      <c r="C39" s="1" t="s">
        <v>109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Hidden!$B$3:$B$4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1"/>
  <sheetViews>
    <sheetView workbookViewId="0">
      <selection activeCell="E3" sqref="E3:G5"/>
    </sheetView>
  </sheetViews>
  <sheetFormatPr defaultColWidth="9.109375" defaultRowHeight="13.8" x14ac:dyDescent="0.3"/>
  <cols>
    <col min="1" max="2" width="9.109375" style="1"/>
    <col min="3" max="3" width="4.5546875" style="1" customWidth="1"/>
    <col min="4" max="4" width="10.6640625" style="1" bestFit="1" customWidth="1"/>
    <col min="5" max="5" width="5" style="1" bestFit="1" customWidth="1"/>
    <col min="6" max="6" width="9.33203125" style="1" bestFit="1" customWidth="1"/>
    <col min="7" max="7" width="12.77734375" style="1" bestFit="1" customWidth="1"/>
    <col min="8" max="8" width="5.5546875" style="1" customWidth="1"/>
    <col min="9" max="9" width="5.44140625" style="1" customWidth="1"/>
    <col min="10" max="10" width="12.6640625" style="1" bestFit="1" customWidth="1"/>
    <col min="11" max="11" width="5" style="1" bestFit="1" customWidth="1"/>
    <col min="12" max="12" width="8.109375" style="1" bestFit="1" customWidth="1"/>
    <col min="13" max="14" width="7.109375" style="1" bestFit="1" customWidth="1"/>
    <col min="15" max="15" width="21.6640625" style="1" bestFit="1" customWidth="1"/>
    <col min="16" max="16" width="18.44140625" style="1" bestFit="1" customWidth="1"/>
    <col min="17" max="17" width="7.5546875" style="1" customWidth="1"/>
    <col min="18" max="18" width="5.5546875" style="1" customWidth="1"/>
    <col min="19" max="19" width="5" style="1" bestFit="1" customWidth="1"/>
    <col min="20" max="20" width="8.109375" style="1" bestFit="1" customWidth="1"/>
    <col min="21" max="21" width="7.109375" style="5" bestFit="1" customWidth="1"/>
    <col min="22" max="22" width="7.109375" style="1" bestFit="1" customWidth="1"/>
    <col min="23" max="23" width="21.6640625" style="1" bestFit="1" customWidth="1"/>
    <col min="24" max="25" width="9.109375" style="1"/>
    <col min="26" max="26" width="10.44140625" style="1" customWidth="1"/>
    <col min="27" max="16384" width="9.109375" style="1"/>
  </cols>
  <sheetData>
    <row r="1" spans="1:26" x14ac:dyDescent="0.3">
      <c r="A1" s="10" t="s">
        <v>52</v>
      </c>
    </row>
    <row r="2" spans="1:26" x14ac:dyDescent="0.3">
      <c r="A2" s="3" t="s">
        <v>36</v>
      </c>
      <c r="D2" s="3" t="s">
        <v>37</v>
      </c>
      <c r="E2" s="3"/>
      <c r="F2" s="3"/>
      <c r="G2" s="3"/>
      <c r="H2" s="3"/>
      <c r="I2" s="3" t="s">
        <v>38</v>
      </c>
      <c r="K2" s="3"/>
      <c r="L2" s="3"/>
      <c r="M2" s="3"/>
      <c r="N2" s="3"/>
      <c r="O2" s="3"/>
      <c r="P2" s="3"/>
      <c r="Q2" s="3"/>
      <c r="R2" s="3" t="s">
        <v>51</v>
      </c>
      <c r="S2" s="3"/>
      <c r="Y2" s="3" t="s">
        <v>53</v>
      </c>
    </row>
    <row r="3" spans="1:26" x14ac:dyDescent="0.3">
      <c r="B3" s="1" t="s">
        <v>5</v>
      </c>
      <c r="D3" s="6"/>
      <c r="E3" s="1" t="s">
        <v>41</v>
      </c>
      <c r="F3" s="1" t="s">
        <v>42</v>
      </c>
      <c r="G3" s="1" t="s">
        <v>46</v>
      </c>
      <c r="I3" s="1">
        <v>2</v>
      </c>
      <c r="J3" s="1" t="s">
        <v>13</v>
      </c>
      <c r="K3" s="1" t="s">
        <v>41</v>
      </c>
      <c r="L3" s="1" t="s">
        <v>43</v>
      </c>
      <c r="M3" s="1" t="s">
        <v>44</v>
      </c>
      <c r="N3" s="1" t="s">
        <v>45</v>
      </c>
      <c r="O3" s="1" t="s">
        <v>46</v>
      </c>
      <c r="P3" s="1" t="s">
        <v>48</v>
      </c>
      <c r="R3" s="1">
        <v>2</v>
      </c>
      <c r="S3" s="1" t="s">
        <v>41</v>
      </c>
      <c r="T3" s="1" t="s">
        <v>43</v>
      </c>
      <c r="U3" s="1" t="s">
        <v>44</v>
      </c>
      <c r="V3" s="1" t="s">
        <v>45</v>
      </c>
      <c r="W3" s="1" t="s">
        <v>46</v>
      </c>
      <c r="Z3" s="1" t="s">
        <v>24</v>
      </c>
    </row>
    <row r="4" spans="1:26" x14ac:dyDescent="0.3">
      <c r="B4" s="1" t="s">
        <v>33</v>
      </c>
      <c r="E4" s="1">
        <v>1</v>
      </c>
      <c r="F4" s="1" t="s">
        <v>39</v>
      </c>
      <c r="G4" s="1" t="s">
        <v>40</v>
      </c>
      <c r="J4" s="1">
        <v>2</v>
      </c>
      <c r="K4" s="1">
        <v>2</v>
      </c>
      <c r="L4" s="1">
        <v>7068.25</v>
      </c>
      <c r="M4" s="1">
        <v>3.6400000000000002E-2</v>
      </c>
      <c r="N4" s="1">
        <v>0.1812</v>
      </c>
      <c r="O4" s="1" t="s">
        <v>114</v>
      </c>
      <c r="P4" s="1" t="s">
        <v>113</v>
      </c>
      <c r="S4" s="1">
        <v>2</v>
      </c>
      <c r="T4" s="1">
        <v>7068.25</v>
      </c>
      <c r="U4" s="1">
        <v>3.6400000000000002E-2</v>
      </c>
      <c r="V4" s="1">
        <v>0.1812</v>
      </c>
      <c r="W4" s="1" t="s">
        <v>114</v>
      </c>
      <c r="Z4" s="1" t="s">
        <v>54</v>
      </c>
    </row>
    <row r="5" spans="1:26" x14ac:dyDescent="0.3">
      <c r="E5" s="1">
        <v>2</v>
      </c>
      <c r="F5" s="1" t="s">
        <v>62</v>
      </c>
      <c r="G5" s="1" t="s">
        <v>63</v>
      </c>
      <c r="U5" s="1"/>
      <c r="Z5" s="1" t="s">
        <v>55</v>
      </c>
    </row>
    <row r="6" spans="1:26" x14ac:dyDescent="0.3">
      <c r="T6" s="5"/>
      <c r="U6" s="1"/>
      <c r="Z6" s="1" t="s">
        <v>56</v>
      </c>
    </row>
    <row r="7" spans="1:26" x14ac:dyDescent="0.3">
      <c r="Z7" s="1" t="s">
        <v>57</v>
      </c>
    </row>
    <row r="8" spans="1:26" x14ac:dyDescent="0.3">
      <c r="Z8" s="1" t="s">
        <v>58</v>
      </c>
    </row>
    <row r="9" spans="1:26" x14ac:dyDescent="0.3">
      <c r="Z9" s="1" t="s">
        <v>59</v>
      </c>
    </row>
    <row r="10" spans="1:26" x14ac:dyDescent="0.3">
      <c r="Z10" s="1" t="s">
        <v>60</v>
      </c>
    </row>
    <row r="11" spans="1:26" x14ac:dyDescent="0.3">
      <c r="Z11" s="1" t="s">
        <v>61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Position</vt:lpstr>
      <vt:lpstr>Holidays</vt:lpstr>
      <vt:lpstr>Hidden</vt:lpstr>
      <vt:lpstr>Hidden_portfolio_ID</vt:lpstr>
      <vt:lpstr>Hidden_valuation_ID</vt:lpstr>
      <vt:lpstr>port_rate</vt:lpstr>
      <vt:lpstr>port_S</vt:lpstr>
      <vt:lpstr>port_vol</vt:lpstr>
      <vt:lpstr>portfolio_ctrl</vt:lpstr>
      <vt:lpstr>Today</vt:lpstr>
      <vt:lpstr>trade_types</vt:lpstr>
      <vt:lpstr>valuation_ctrl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O'Kane</dc:creator>
  <cp:lastModifiedBy>James O'Kane</cp:lastModifiedBy>
  <dcterms:created xsi:type="dcterms:W3CDTF">2026-03-01T03:33:23Z</dcterms:created>
  <dcterms:modified xsi:type="dcterms:W3CDTF">2026-04-22T04:18:18Z</dcterms:modified>
</cp:coreProperties>
</file>