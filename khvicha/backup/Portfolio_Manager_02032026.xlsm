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795" windowHeight="12600"/>
  </bookViews>
  <sheets>
    <sheet name="Position" sheetId="1" r:id="rId1"/>
    <sheet name="Holidays" sheetId="2" r:id="rId2"/>
    <sheet name="Hidden" sheetId="3" r:id="rId3"/>
  </sheets>
  <functionGroups builtInGroupCount="17">
    <functionGroup name="xlwings"/>
  </functionGroups>
  <definedNames>
    <definedName name="Hermes_portfolios" localSheetId="2" hidden="1">Hidden!$E$3:$G$5</definedName>
    <definedName name="Hermes_valuations_1" localSheetId="2" hidden="1">Hidden!$K$3:$Q$4</definedName>
    <definedName name="Hidden_portfolio_ID">Hidden!$J$3</definedName>
    <definedName name="port_rate">Position!$C$5</definedName>
    <definedName name="port_S">Position!$C$3</definedName>
    <definedName name="port_vol">Position!$C$4</definedName>
    <definedName name="portfolio_ctrl">Position!$F$3</definedName>
    <definedName name="Query_from_hermes" localSheetId="1" hidden="1">Holidays!$A$6:$C$30</definedName>
    <definedName name="valuation_ctrl">Position!$F$5</definedName>
  </definedNames>
  <calcPr calcId="145621"/>
  <extLst>
    <ext xmlns:x14="http://schemas.microsoft.com/office/spreadsheetml/2009/9/main" uri="{8193D73E-4604-4355-AFF4-8A2333D13BE4}">
      <x14:definedNames>
        <x14:definedName name="refresh_trades">
          <x14:argumentDescriptions count="1">
            <x14:argumentDescription index="0">Positional argument 1</x14:argumentDescription>
          </x14:argumentDescriptions>
        </x14:definedName>
        <x14:definedName name="refresh_valuation">
          <x14:argumentDescriptions count="1">
            <x14:argumentDescription index="0">Positional argument 1</x14:argumentDescription>
          </x14:argumentDescriptions>
        </x14:definedName>
        <x14:definedName name="value_portfolio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value_trad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J10" i="1" l="1"/>
  <c r="I10" i="1" l="1"/>
  <c r="H10" i="1"/>
  <c r="G10" i="1"/>
  <c r="F10" i="1"/>
  <c r="E10" i="1"/>
</calcChain>
</file>

<file path=xl/connections.xml><?xml version="1.0" encoding="utf-8"?>
<connections xmlns="http://schemas.openxmlformats.org/spreadsheetml/2006/main">
  <connection id="1" odcFile="E:\dev\James\Hermes\etc\Hermes_portfolios.odc" name="Hermes_portfolios" type="1" refreshedVersion="4" background="1" saveData="1">
    <dbPr connection="Driver={SQLite3 ODBC Driver};Database=E:\dev\James\Hermes\Hermes.db;StepAPI=0;SyncPragma=NORMAL;NoTXN=0;Timeout=10000;ShortNames=0;LongNames=0;NoCreat=0;NoWCHAR=0;FKSupport=0;JournalMode=;OEMCP=0;LoadExt=;BigInt=0;JDConv=0;;AttachAs=;ILike=0" command="SELECT portfolios.ID, portfolios.name, portfolios.ID||&quot; - &quot;||portfolios.name_x000d__x000a_FROM portfolios portfolios_x000d__x000a_ORDER BY portfolios.ID"/>
  </connection>
  <connection id="2" name="Hermes_valuations" type="1" refreshedVersion="4" background="1" saveData="1">
    <dbPr connection="Driver={SQLite3 ODBC Driver};Database=E:\dev\James\Hermes\Hermes.db;StepAPI=0;SyncPragma=NORMAL;NoTXN=0;Timeout=10000;ShortNames=0;LongNames=0;NoCreat=0;NoWCHAR=0;FKSupport=0;JournalMode=;OEMCP=0;LoadExt=;BigInt=0;JDConv=0;AttachAs=;ILike=0" command="SELECT v.portfolio_ID, v.ID, v.valuation_time, v.S, v.rate, v.vol, v.ID||' @ '||v.valuation_time AS 'display_text'_x000d__x000a_FROM valuations v_x000d__x000a_WHERE (v.portfolio_ID=?)_x000d__x000a_ORDER BY v.ID, v.valuation_time DESC"/>
    <parameters count="1">
      <parameter name="Parameter1" sqlType="-10" parameterType="cell" cell="Hidden!$J$3"/>
    </parameters>
  </connection>
  <connection id="3" name="Query from hermes" type="1" refreshedVersion="4" background="1" saveData="1">
    <dbPr connection="Driver={SQLite3 ODBC Driver};Database=E:\dev\James\Hermes\Hermes.db;StepAPI=0;SyncPragma=NORMAL;NoTXN=0;Timeout=10000;ShortNames=0;LongNames=0;NoCreat=0;NoWCHAR=0;FKSupport=0;JournalMode=;OEMCP=0;LoadExt=;BigInt=0;JDConv=0;AttachAs=;ILike=0" command="SELECT non_business_days.location, non_business_days.reason, non_business_days.non_business_day_x000d__x000a_FROM non_business_days non_business_days_x000d__x000a_WHERE (non_business_days.location=?)_x000d__x000a_ORDER BY non_business_days.non_business_day"/>
    <parameters count="1">
      <parameter name="Parameter1" sqlType="-10" parameterType="cell" refreshOnChange="1" cell="Holidays!$B$4"/>
    </parameters>
  </connection>
</connections>
</file>

<file path=xl/sharedStrings.xml><?xml version="1.0" encoding="utf-8"?>
<sst xmlns="http://schemas.openxmlformats.org/spreadsheetml/2006/main" count="150" uniqueCount="90">
  <si>
    <t>Non-Business Days</t>
  </si>
  <si>
    <t>Location:</t>
  </si>
  <si>
    <t>location</t>
  </si>
  <si>
    <t>reason</t>
  </si>
  <si>
    <t>non_business_day</t>
  </si>
  <si>
    <t>UK</t>
  </si>
  <si>
    <t>2026-05-25</t>
  </si>
  <si>
    <t>Christmas Day</t>
  </si>
  <si>
    <t>2026-12-25</t>
  </si>
  <si>
    <t>2027-05-31</t>
  </si>
  <si>
    <t>2028-05-29</t>
  </si>
  <si>
    <t>2028-12-25</t>
  </si>
  <si>
    <t>New Years Holiday</t>
  </si>
  <si>
    <t>2026-01-02</t>
  </si>
  <si>
    <t>Good Friday</t>
  </si>
  <si>
    <t>2026-04-03</t>
  </si>
  <si>
    <t>Easter</t>
  </si>
  <si>
    <t>2026-04-06</t>
  </si>
  <si>
    <t>May Bank Holiday</t>
  </si>
  <si>
    <t>2026-05-04</t>
  </si>
  <si>
    <t>Spring Bank Holiday</t>
  </si>
  <si>
    <t>Summer Bank Holiday</t>
  </si>
  <si>
    <t>2026-08-31</t>
  </si>
  <si>
    <t>Boxing Day</t>
  </si>
  <si>
    <t>2026-12-28</t>
  </si>
  <si>
    <t>2027-01-02</t>
  </si>
  <si>
    <t>2027-03-26</t>
  </si>
  <si>
    <t>2027-03-29</t>
  </si>
  <si>
    <t>2027-05-03</t>
  </si>
  <si>
    <t>2027-08-30</t>
  </si>
  <si>
    <t>2027-12-27</t>
  </si>
  <si>
    <t>2027-12-28</t>
  </si>
  <si>
    <t>2028-01-03</t>
  </si>
  <si>
    <t>2028-04-14</t>
  </si>
  <si>
    <t>2028-04-17</t>
  </si>
  <si>
    <t>2028-05-01</t>
  </si>
  <si>
    <t>2028-08-28</t>
  </si>
  <si>
    <t>2028-12-26</t>
  </si>
  <si>
    <t>Portfolio Manager</t>
  </si>
  <si>
    <t>S:</t>
  </si>
  <si>
    <t>vol:</t>
  </si>
  <si>
    <t>rate:</t>
  </si>
  <si>
    <t>asset:</t>
  </si>
  <si>
    <t>GBP/USD</t>
  </si>
  <si>
    <t>trade_ID</t>
  </si>
  <si>
    <t>leg</t>
  </si>
  <si>
    <t>portfolio_ID</t>
  </si>
  <si>
    <t>underlying</t>
  </si>
  <si>
    <t>notional</t>
  </si>
  <si>
    <t>trade_type</t>
  </si>
  <si>
    <t>premium</t>
  </si>
  <si>
    <t>trade_date</t>
  </si>
  <si>
    <t>expiry_date</t>
  </si>
  <si>
    <t>strike</t>
  </si>
  <si>
    <t>barrier1</t>
  </si>
  <si>
    <t>barrier2</t>
  </si>
  <si>
    <t>settlement_date</t>
  </si>
  <si>
    <t>delivery_date</t>
  </si>
  <si>
    <t>Call</t>
  </si>
  <si>
    <t>valuation_ID</t>
  </si>
  <si>
    <t>model</t>
  </si>
  <si>
    <t>PV</t>
  </si>
  <si>
    <t>delta</t>
  </si>
  <si>
    <t>gamma</t>
  </si>
  <si>
    <t>rho</t>
  </si>
  <si>
    <t>vega</t>
  </si>
  <si>
    <t>theta</t>
  </si>
  <si>
    <t>US</t>
  </si>
  <si>
    <t>Valuation:</t>
  </si>
  <si>
    <t>Portfolio:</t>
  </si>
  <si>
    <t>Holiday Locations</t>
  </si>
  <si>
    <t>Portfolios</t>
  </si>
  <si>
    <t>Valuations</t>
  </si>
  <si>
    <t>Portfolio 1</t>
  </si>
  <si>
    <t>Portfolio 2</t>
  </si>
  <si>
    <t>2 - Portfolio 2</t>
  </si>
  <si>
    <t>1 - Portfolio 1</t>
  </si>
  <si>
    <t>ID</t>
  </si>
  <si>
    <t>name</t>
  </si>
  <si>
    <t>name2</t>
  </si>
  <si>
    <t>valuation_time</t>
  </si>
  <si>
    <t>S</t>
  </si>
  <si>
    <t>rate</t>
  </si>
  <si>
    <t>vol</t>
  </si>
  <si>
    <t>display_text</t>
  </si>
  <si>
    <t>FTSE 1001</t>
  </si>
  <si>
    <t>clearing valusations</t>
  </si>
  <si>
    <t>data dumped</t>
  </si>
  <si>
    <t>01-01-2026 12:00:00</t>
  </si>
  <si>
    <t>1 @ 01-01-2026 12:00:00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</si>
</sst>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yyyy/mm/dd\ hh:mm:ss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NumberFormat="1" applyProtection="1"/>
    <xf numFmtId="0" fontId="0" fillId="0" borderId="0" xfId="0" applyProtection="1"/>
    <xf numFmtId="0" fontId="3" fillId="0" borderId="0" xfId="0" applyFont="1" applyProtection="1"/>
    <xf numFmtId="164" fontId="0" fillId="0" borderId="0" xfId="0" applyNumberFormat="1" applyProtection="1"/>
    <xf numFmtId="0" fontId="4" fillId="0" borderId="0" xfId="0" applyNumberFormat="1" applyFont="1" applyProtection="1"/>
    <xf numFmtId="14" fontId="0" fillId="0" borderId="0" xfId="0" applyNumberFormat="1"/>
    <xf numFmtId="0" fontId="0" fillId="0" borderId="0" xfId="0" quotePrefix="1"/>
    <xf numFmtId="0" fontId="0" fillId="3" borderId="0" xfId="0" applyFill="1"/>
    <xf numFmtId="0" fontId="4" fillId="0" borderId="0" xfId="0" applyFont="1" applyProtection="1"/>
    <xf numFmtId="0" fontId="6" fillId="0" borderId="0" xfId="2"/>
    <xf numFmtId="0" fontId="6" fillId="3" borderId="0" xfId="2" applyFill="1"/>
    <xf numFmtId="0" fontId="4" fillId="0" borderId="0" xfId="0" applyFont="1"/>
    <xf numFmtId="0" fontId="1" fillId="2" borderId="1" xfId="1"/>
    <xf numFmtId="10" fontId="1" fillId="2" borderId="1" xfId="1" applyNumberFormat="1" applyProtection="1">
      <protection locked="0"/>
    </xf>
    <xf numFmtId="0" fontId="1" fillId="2" borderId="1" xfId="1" applyProtection="1">
      <protection locked="0"/>
    </xf>
    <xf numFmtId="165" fontId="0" fillId="0" borderId="0" xfId="0" applyNumberFormat="1"/>
    <xf numFmtId="0" fontId="6" fillId="3" borderId="0" xfId="0" applyFont="1" applyFill="1"/>
    <xf numFmtId="0" fontId="6" fillId="0" borderId="0" xfId="0" applyFont="1"/>
    <xf numFmtId="0" fontId="1" fillId="2" borderId="1" xfId="1" applyAlignment="1" applyProtection="1"/>
    <xf numFmtId="0" fontId="1" fillId="2" borderId="1" xfId="1" applyAlignment="1"/>
  </cellXfs>
  <cellStyles count="3">
    <cellStyle name="Input" xfId="1" builtinId="20"/>
    <cellStyle name="Normal" xfId="0" builtinId="0"/>
    <cellStyle name="Warning Text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19050</xdr:rowOff>
        </xdr:from>
        <xdr:to>
          <xdr:col>9</xdr:col>
          <xdr:colOff>857250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9525</xdr:rowOff>
        </xdr:from>
        <xdr:to>
          <xdr:col>9</xdr:col>
          <xdr:colOff>857250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Value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hermes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location" tableColumnId="1"/>
      <queryTableField id="2" name="reason" tableColumnId="2"/>
      <queryTableField id="3" name="non_business_day" tableColumnId="3"/>
    </queryTableFields>
  </queryTableRefresh>
</queryTable>
</file>

<file path=xl/queryTables/queryTable2.xml><?xml version="1.0" encoding="utf-8"?>
<queryTable xmlns="http://schemas.openxmlformats.org/spreadsheetml/2006/main" name="Hermes_portfolios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name" tableColumnId="3"/>
    </queryTableFields>
  </queryTableRefresh>
</queryTable>
</file>

<file path=xl/queryTables/queryTable3.xml><?xml version="1.0" encoding="utf-8"?>
<queryTable xmlns="http://schemas.openxmlformats.org/spreadsheetml/2006/main" name="Hermes_valuations_1" connectionId="2" autoFormatId="16" applyNumberFormats="0" applyBorderFormats="0" applyFontFormats="0" applyPatternFormats="0" applyAlignmentFormats="0" applyWidthHeightFormats="0">
  <queryTableRefresh nextId="10">
    <queryTableFields count="7">
      <queryTableField id="1" name="portfolio_ID" tableColumnId="1"/>
      <queryTableField id="2" name="ID" tableColumnId="2"/>
      <queryTableField id="3" name="valuation_time" tableColumnId="3"/>
      <queryTableField id="4" name="S" tableColumnId="4"/>
      <queryTableField id="5" name="rate" tableColumnId="5"/>
      <queryTableField id="6" name="vol" tableColumnId="6"/>
      <queryTableField id="9" name="display_text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Query_from_hermes" displayName="Table_Query_from_hermes" ref="A6:C30" tableType="queryTable" totalsRowShown="0">
  <autoFilter ref="A6:C30"/>
  <tableColumns count="3">
    <tableColumn id="1" uniqueName="1" name="location" queryTableFieldId="1"/>
    <tableColumn id="2" uniqueName="2" name="reason" queryTableFieldId="2"/>
    <tableColumn id="3" uniqueName="3" name="non_business_day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rmes_portfolios" displayName="Table_Hermes_portfolios" ref="E3:G5" tableType="queryTable" totalsRowShown="0">
  <autoFilter ref="E3:G5"/>
  <tableColumns count="3">
    <tableColumn id="1" uniqueName="1" name="ID" queryTableFieldId="1"/>
    <tableColumn id="2" uniqueName="2" name="name" queryTableFieldId="2"/>
    <tableColumn id="3" uniqueName="3" name="name2" queryTableField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Hermes_valuations_1" displayName="Table_Hermes_valuations_1" ref="K3:Q4" tableType="queryTable" totalsRowShown="0">
  <autoFilter ref="K3:Q4"/>
  <tableColumns count="7">
    <tableColumn id="1" uniqueName="1" name="portfolio_ID" queryTableFieldId="1"/>
    <tableColumn id="2" uniqueName="2" name="ID" queryTableFieldId="2"/>
    <tableColumn id="3" uniqueName="3" name="valuation_time" queryTableFieldId="3"/>
    <tableColumn id="4" uniqueName="4" name="S" queryTableFieldId="4"/>
    <tableColumn id="5" uniqueName="5" name="rate" queryTableFieldId="5"/>
    <tableColumn id="6" uniqueName="6" name="vol" queryTableFieldId="6"/>
    <tableColumn id="9" uniqueName="9" name="display_text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26"/>
  <sheetViews>
    <sheetView tabSelected="1" workbookViewId="0">
      <selection activeCell="F3" sqref="F3:G3"/>
    </sheetView>
  </sheetViews>
  <sheetFormatPr defaultRowHeight="15" x14ac:dyDescent="0.25"/>
  <cols>
    <col min="1" max="1" width="12.140625" style="19" bestFit="1" customWidth="1"/>
    <col min="2" max="2" width="12.140625" bestFit="1" customWidth="1"/>
    <col min="5" max="10" width="13.140625" customWidth="1"/>
    <col min="11" max="11" width="12.140625" customWidth="1"/>
    <col min="12" max="12" width="5.42578125" customWidth="1"/>
    <col min="13" max="13" width="12.5703125" customWidth="1"/>
    <col min="14" max="14" width="8.5703125" style="11" bestFit="1" customWidth="1"/>
    <col min="15" max="15" width="3.7109375" style="11" bestFit="1" customWidth="1"/>
    <col min="16" max="16" width="11.7109375" style="11" bestFit="1" customWidth="1"/>
    <col min="17" max="17" width="9.5703125" style="11" customWidth="1"/>
    <col min="21" max="21" width="10.7109375" bestFit="1" customWidth="1"/>
    <col min="22" max="22" width="11.5703125" bestFit="1" customWidth="1"/>
    <col min="25" max="26" width="10.7109375" customWidth="1"/>
    <col min="27" max="27" width="13.42578125" bestFit="1" customWidth="1"/>
  </cols>
  <sheetData>
    <row r="1" spans="1:27" ht="28.5" x14ac:dyDescent="0.45">
      <c r="B1" s="2"/>
      <c r="C1" s="3"/>
      <c r="D1" s="4" t="s">
        <v>38</v>
      </c>
      <c r="E1" s="3"/>
      <c r="F1" s="4"/>
      <c r="G1" s="5"/>
    </row>
    <row r="2" spans="1:27" x14ac:dyDescent="0.25">
      <c r="B2" s="2"/>
      <c r="C2" s="3"/>
      <c r="D2" s="3"/>
      <c r="E2" s="3"/>
      <c r="F2" s="3"/>
      <c r="J2" s="5"/>
    </row>
    <row r="3" spans="1:27" x14ac:dyDescent="0.25">
      <c r="B3" s="6" t="s">
        <v>39</v>
      </c>
      <c r="C3" s="14">
        <v>1.3481000000000001</v>
      </c>
      <c r="D3" s="3"/>
      <c r="E3" s="10" t="s">
        <v>69</v>
      </c>
      <c r="F3" s="20" t="s">
        <v>76</v>
      </c>
      <c r="G3" s="21"/>
      <c r="I3" s="5"/>
    </row>
    <row r="4" spans="1:27" x14ac:dyDescent="0.25">
      <c r="B4" s="6" t="s">
        <v>40</v>
      </c>
      <c r="C4" s="15">
        <v>7.8100000000000003E-2</v>
      </c>
      <c r="D4" s="3"/>
      <c r="E4" s="3"/>
      <c r="F4" s="3"/>
      <c r="I4" s="5"/>
    </row>
    <row r="5" spans="1:27" x14ac:dyDescent="0.25">
      <c r="B5" s="6" t="s">
        <v>41</v>
      </c>
      <c r="C5" s="15">
        <v>3.73E-2</v>
      </c>
      <c r="D5" s="3"/>
      <c r="E5" s="10" t="s">
        <v>68</v>
      </c>
      <c r="F5" s="20"/>
      <c r="G5" s="21"/>
      <c r="I5" s="5"/>
    </row>
    <row r="6" spans="1:27" x14ac:dyDescent="0.25">
      <c r="B6" s="6" t="s">
        <v>42</v>
      </c>
      <c r="C6" s="16" t="s">
        <v>85</v>
      </c>
      <c r="D6" s="3"/>
      <c r="E6" s="3"/>
      <c r="F6" s="3"/>
      <c r="J6" s="5"/>
    </row>
    <row r="9" spans="1:27" x14ac:dyDescent="0.25">
      <c r="E9" s="9" t="s">
        <v>61</v>
      </c>
      <c r="F9" s="9" t="s">
        <v>62</v>
      </c>
      <c r="G9" s="9" t="s">
        <v>63</v>
      </c>
      <c r="H9" s="9" t="s">
        <v>64</v>
      </c>
      <c r="I9" s="9" t="s">
        <v>65</v>
      </c>
      <c r="J9" s="9" t="s">
        <v>66</v>
      </c>
    </row>
    <row r="10" spans="1:27" x14ac:dyDescent="0.25">
      <c r="D10" s="8"/>
      <c r="E10">
        <f>SUM(F13:F10000)</f>
        <v>0</v>
      </c>
      <c r="F10">
        <f>SUM(G13:G10000)</f>
        <v>0</v>
      </c>
      <c r="G10">
        <f>SUM(H13:H10000)</f>
        <v>0</v>
      </c>
      <c r="H10">
        <f>SUM(I13:I10000)</f>
        <v>0</v>
      </c>
      <c r="I10">
        <f>SUM(J13:J10000)</f>
        <v>0</v>
      </c>
      <c r="J10">
        <f>SUM(K13:K10000)</f>
        <v>0</v>
      </c>
    </row>
    <row r="12" spans="1:27" s="9" customFormat="1" x14ac:dyDescent="0.25">
      <c r="A12" s="18" t="s">
        <v>59</v>
      </c>
      <c r="B12" s="9" t="s">
        <v>44</v>
      </c>
      <c r="C12" s="9" t="s">
        <v>45</v>
      </c>
      <c r="D12" s="9" t="s">
        <v>60</v>
      </c>
      <c r="E12" s="9" t="s">
        <v>61</v>
      </c>
      <c r="F12" s="9" t="s">
        <v>62</v>
      </c>
      <c r="G12" s="9" t="s">
        <v>63</v>
      </c>
      <c r="H12" s="9" t="s">
        <v>64</v>
      </c>
      <c r="I12" s="9" t="s">
        <v>65</v>
      </c>
      <c r="J12" s="9" t="s">
        <v>66</v>
      </c>
      <c r="L12" s="9" t="s">
        <v>44</v>
      </c>
      <c r="M12" s="9" t="s">
        <v>45</v>
      </c>
      <c r="N12" s="12" t="s">
        <v>46</v>
      </c>
      <c r="O12" s="12" t="s">
        <v>47</v>
      </c>
      <c r="P12" s="12" t="s">
        <v>48</v>
      </c>
      <c r="Q12" s="12" t="s">
        <v>49</v>
      </c>
      <c r="R12" s="9" t="s">
        <v>50</v>
      </c>
      <c r="S12" s="9" t="s">
        <v>51</v>
      </c>
      <c r="T12" s="9" t="s">
        <v>52</v>
      </c>
      <c r="U12" s="9" t="s">
        <v>53</v>
      </c>
      <c r="V12" s="9" t="s">
        <v>54</v>
      </c>
      <c r="W12" s="9" t="s">
        <v>55</v>
      </c>
      <c r="X12" s="9" t="s">
        <v>56</v>
      </c>
      <c r="Y12" s="9" t="s">
        <v>57</v>
      </c>
      <c r="Z12" s="9" t="s">
        <v>57</v>
      </c>
      <c r="AA12" s="9" t="s">
        <v>57</v>
      </c>
    </row>
    <row r="13" spans="1:27" x14ac:dyDescent="0.25">
      <c r="L13">
        <v>1</v>
      </c>
      <c r="M13">
        <v>1</v>
      </c>
      <c r="N13" s="11">
        <v>1</v>
      </c>
      <c r="O13" s="11" t="s">
        <v>43</v>
      </c>
      <c r="P13" s="11">
        <v>100000</v>
      </c>
      <c r="Q13" s="11" t="s">
        <v>58</v>
      </c>
      <c r="R13">
        <v>10000</v>
      </c>
      <c r="S13" s="7">
        <v>46023</v>
      </c>
      <c r="T13" s="7">
        <v>46204</v>
      </c>
      <c r="U13" s="7">
        <v>1.45</v>
      </c>
      <c r="V13" s="7"/>
      <c r="X13" s="7">
        <v>46025</v>
      </c>
      <c r="Y13" s="7">
        <v>46206</v>
      </c>
      <c r="Z13" s="7">
        <v>46206</v>
      </c>
      <c r="AA13" s="7">
        <v>46257</v>
      </c>
    </row>
    <row r="14" spans="1:27" x14ac:dyDescent="0.25">
      <c r="L14">
        <v>2</v>
      </c>
      <c r="M14">
        <v>1</v>
      </c>
      <c r="N14" s="11">
        <v>1</v>
      </c>
      <c r="O14" s="11" t="s">
        <v>43</v>
      </c>
      <c r="P14" s="11">
        <v>10000000</v>
      </c>
      <c r="Q14" s="11" t="s">
        <v>58</v>
      </c>
      <c r="R14">
        <v>80000</v>
      </c>
      <c r="S14" s="7">
        <v>46054</v>
      </c>
      <c r="T14" s="7">
        <v>46235</v>
      </c>
      <c r="U14" s="7">
        <v>1.45</v>
      </c>
      <c r="V14" s="7"/>
      <c r="X14" s="7">
        <v>46056</v>
      </c>
      <c r="Y14" s="7">
        <v>46237</v>
      </c>
      <c r="Z14" s="7">
        <v>46237</v>
      </c>
      <c r="AA14" s="7">
        <v>46602</v>
      </c>
    </row>
    <row r="15" spans="1:27" x14ac:dyDescent="0.25">
      <c r="L15">
        <v>3</v>
      </c>
      <c r="M15">
        <v>1</v>
      </c>
      <c r="N15" s="11">
        <v>1</v>
      </c>
      <c r="O15" s="11" t="s">
        <v>43</v>
      </c>
      <c r="P15" s="11">
        <v>525000</v>
      </c>
      <c r="Q15" s="11" t="s">
        <v>58</v>
      </c>
      <c r="R15">
        <v>10000</v>
      </c>
      <c r="S15" s="7">
        <v>46063</v>
      </c>
      <c r="T15" s="7">
        <v>46397</v>
      </c>
      <c r="U15" s="7">
        <v>1.45</v>
      </c>
      <c r="V15" s="7"/>
      <c r="X15" s="7">
        <v>46065</v>
      </c>
      <c r="Y15" s="7">
        <v>46399</v>
      </c>
      <c r="Z15" s="7">
        <v>46399</v>
      </c>
      <c r="AA15" s="7"/>
    </row>
    <row r="16" spans="1:27" x14ac:dyDescent="0.25">
      <c r="L16">
        <v>4</v>
      </c>
      <c r="M16">
        <v>1</v>
      </c>
      <c r="N16" s="11">
        <v>1</v>
      </c>
      <c r="O16" s="11" t="s">
        <v>43</v>
      </c>
      <c r="P16" s="11">
        <v>1800000</v>
      </c>
      <c r="Q16" s="11" t="s">
        <v>58</v>
      </c>
      <c r="R16">
        <v>7400</v>
      </c>
      <c r="S16" s="7">
        <v>46067</v>
      </c>
      <c r="T16" s="7">
        <v>46340</v>
      </c>
      <c r="U16" s="7">
        <v>1.5</v>
      </c>
      <c r="V16" s="7"/>
      <c r="X16" s="7">
        <v>46069</v>
      </c>
      <c r="Y16" s="7">
        <v>46342</v>
      </c>
      <c r="Z16" s="7">
        <v>46342</v>
      </c>
      <c r="AA16" s="7"/>
    </row>
    <row r="17" spans="20:27" x14ac:dyDescent="0.25">
      <c r="U17" s="7"/>
      <c r="V17" s="7"/>
      <c r="Z17" s="7"/>
      <c r="AA17" s="7"/>
    </row>
    <row r="18" spans="20:27" x14ac:dyDescent="0.25">
      <c r="U18" s="7"/>
      <c r="V18" s="7"/>
      <c r="Z18" s="7"/>
      <c r="AA18" s="7"/>
    </row>
    <row r="25" spans="20:27" x14ac:dyDescent="0.25">
      <c r="T25" t="s">
        <v>86</v>
      </c>
    </row>
    <row r="26" spans="20:27" x14ac:dyDescent="0.25">
      <c r="T26" t="s">
        <v>87</v>
      </c>
    </row>
  </sheetData>
  <mergeCells count="2">
    <mergeCell ref="F3:G3"/>
    <mergeCell ref="F5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">
                <anchor moveWithCells="1" sizeWithCells="1">
                  <from>
                    <xdr:col>9</xdr:col>
                    <xdr:colOff>38100</xdr:colOff>
                    <xdr:row>2</xdr:row>
                    <xdr:rowOff>19050</xdr:rowOff>
                  </from>
                  <to>
                    <xdr:col>9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alue">
                <anchor moveWithCells="1" sizeWithCells="1">
                  <from>
                    <xdr:col>9</xdr:col>
                    <xdr:colOff>28575</xdr:colOff>
                    <xdr:row>4</xdr:row>
                    <xdr:rowOff>9525</xdr:rowOff>
                  </from>
                  <to>
                    <xdr:col>9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Hidden!$G$4:$G$100000</xm:f>
          </x14:formula1>
          <xm:sqref>F3:G3</xm:sqref>
        </x14:dataValidation>
        <x14:dataValidation type="list" allowBlank="1" showInputMessage="1" showErrorMessage="1">
          <x14:formula1>
            <xm:f>Hidden!$Q$4:$Q99998</xm:f>
          </x14:formula1>
          <xm:sqref>F5:G5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30"/>
  <sheetViews>
    <sheetView workbookViewId="0">
      <selection activeCell="B4" sqref="B4"/>
    </sheetView>
  </sheetViews>
  <sheetFormatPr defaultRowHeight="15" x14ac:dyDescent="0.25"/>
  <cols>
    <col min="1" max="1" width="10.42578125" customWidth="1"/>
    <col min="2" max="2" width="20.5703125" customWidth="1"/>
    <col min="3" max="3" width="19.85546875" customWidth="1"/>
  </cols>
  <sheetData>
    <row r="2" spans="1:3" ht="33.75" x14ac:dyDescent="0.5">
      <c r="A2" s="1" t="s">
        <v>0</v>
      </c>
    </row>
    <row r="4" spans="1:3" x14ac:dyDescent="0.25">
      <c r="A4" t="s">
        <v>1</v>
      </c>
      <c r="B4" t="s">
        <v>5</v>
      </c>
    </row>
    <row r="6" spans="1:3" x14ac:dyDescent="0.25">
      <c r="A6" t="s">
        <v>2</v>
      </c>
      <c r="B6" t="s">
        <v>3</v>
      </c>
      <c r="C6" t="s">
        <v>4</v>
      </c>
    </row>
    <row r="7" spans="1:3" x14ac:dyDescent="0.25">
      <c r="A7" t="s">
        <v>5</v>
      </c>
      <c r="B7" t="s">
        <v>12</v>
      </c>
      <c r="C7" t="s">
        <v>13</v>
      </c>
    </row>
    <row r="8" spans="1:3" x14ac:dyDescent="0.25">
      <c r="A8" t="s">
        <v>5</v>
      </c>
      <c r="B8" t="s">
        <v>14</v>
      </c>
      <c r="C8" t="s">
        <v>15</v>
      </c>
    </row>
    <row r="9" spans="1:3" x14ac:dyDescent="0.25">
      <c r="A9" t="s">
        <v>5</v>
      </c>
      <c r="B9" t="s">
        <v>16</v>
      </c>
      <c r="C9" t="s">
        <v>17</v>
      </c>
    </row>
    <row r="10" spans="1:3" x14ac:dyDescent="0.25">
      <c r="A10" t="s">
        <v>5</v>
      </c>
      <c r="B10" t="s">
        <v>18</v>
      </c>
      <c r="C10" t="s">
        <v>19</v>
      </c>
    </row>
    <row r="11" spans="1:3" x14ac:dyDescent="0.25">
      <c r="A11" t="s">
        <v>5</v>
      </c>
      <c r="B11" t="s">
        <v>20</v>
      </c>
      <c r="C11" t="s">
        <v>6</v>
      </c>
    </row>
    <row r="12" spans="1:3" x14ac:dyDescent="0.25">
      <c r="A12" t="s">
        <v>5</v>
      </c>
      <c r="B12" t="s">
        <v>21</v>
      </c>
      <c r="C12" t="s">
        <v>22</v>
      </c>
    </row>
    <row r="13" spans="1:3" x14ac:dyDescent="0.25">
      <c r="A13" t="s">
        <v>5</v>
      </c>
      <c r="B13" t="s">
        <v>7</v>
      </c>
      <c r="C13" t="s">
        <v>8</v>
      </c>
    </row>
    <row r="14" spans="1:3" x14ac:dyDescent="0.25">
      <c r="A14" t="s">
        <v>5</v>
      </c>
      <c r="B14" t="s">
        <v>23</v>
      </c>
      <c r="C14" t="s">
        <v>24</v>
      </c>
    </row>
    <row r="15" spans="1:3" x14ac:dyDescent="0.25">
      <c r="A15" t="s">
        <v>5</v>
      </c>
      <c r="B15" t="s">
        <v>12</v>
      </c>
      <c r="C15" t="s">
        <v>25</v>
      </c>
    </row>
    <row r="16" spans="1:3" x14ac:dyDescent="0.25">
      <c r="A16" t="s">
        <v>5</v>
      </c>
      <c r="B16" t="s">
        <v>14</v>
      </c>
      <c r="C16" t="s">
        <v>26</v>
      </c>
    </row>
    <row r="17" spans="1:3" x14ac:dyDescent="0.25">
      <c r="A17" t="s">
        <v>5</v>
      </c>
      <c r="B17" t="s">
        <v>16</v>
      </c>
      <c r="C17" t="s">
        <v>27</v>
      </c>
    </row>
    <row r="18" spans="1:3" x14ac:dyDescent="0.25">
      <c r="A18" t="s">
        <v>5</v>
      </c>
      <c r="B18" t="s">
        <v>18</v>
      </c>
      <c r="C18" t="s">
        <v>28</v>
      </c>
    </row>
    <row r="19" spans="1:3" x14ac:dyDescent="0.25">
      <c r="A19" t="s">
        <v>5</v>
      </c>
      <c r="B19" t="s">
        <v>20</v>
      </c>
      <c r="C19" t="s">
        <v>9</v>
      </c>
    </row>
    <row r="20" spans="1:3" x14ac:dyDescent="0.25">
      <c r="A20" t="s">
        <v>5</v>
      </c>
      <c r="B20" t="s">
        <v>21</v>
      </c>
      <c r="C20" t="s">
        <v>29</v>
      </c>
    </row>
    <row r="21" spans="1:3" x14ac:dyDescent="0.25">
      <c r="A21" t="s">
        <v>5</v>
      </c>
      <c r="B21" t="s">
        <v>7</v>
      </c>
      <c r="C21" t="s">
        <v>30</v>
      </c>
    </row>
    <row r="22" spans="1:3" x14ac:dyDescent="0.25">
      <c r="A22" t="s">
        <v>5</v>
      </c>
      <c r="B22" t="s">
        <v>23</v>
      </c>
      <c r="C22" t="s">
        <v>31</v>
      </c>
    </row>
    <row r="23" spans="1:3" x14ac:dyDescent="0.25">
      <c r="A23" t="s">
        <v>5</v>
      </c>
      <c r="B23" t="s">
        <v>12</v>
      </c>
      <c r="C23" t="s">
        <v>32</v>
      </c>
    </row>
    <row r="24" spans="1:3" x14ac:dyDescent="0.25">
      <c r="A24" t="s">
        <v>5</v>
      </c>
      <c r="B24" t="s">
        <v>14</v>
      </c>
      <c r="C24" t="s">
        <v>33</v>
      </c>
    </row>
    <row r="25" spans="1:3" x14ac:dyDescent="0.25">
      <c r="A25" t="s">
        <v>5</v>
      </c>
      <c r="B25" t="s">
        <v>16</v>
      </c>
      <c r="C25" t="s">
        <v>34</v>
      </c>
    </row>
    <row r="26" spans="1:3" x14ac:dyDescent="0.25">
      <c r="A26" t="s">
        <v>5</v>
      </c>
      <c r="B26" t="s">
        <v>18</v>
      </c>
      <c r="C26" t="s">
        <v>35</v>
      </c>
    </row>
    <row r="27" spans="1:3" x14ac:dyDescent="0.25">
      <c r="A27" t="s">
        <v>5</v>
      </c>
      <c r="B27" t="s">
        <v>20</v>
      </c>
      <c r="C27" t="s">
        <v>10</v>
      </c>
    </row>
    <row r="28" spans="1:3" x14ac:dyDescent="0.25">
      <c r="A28" t="s">
        <v>5</v>
      </c>
      <c r="B28" t="s">
        <v>21</v>
      </c>
      <c r="C28" t="s">
        <v>36</v>
      </c>
    </row>
    <row r="29" spans="1:3" x14ac:dyDescent="0.25">
      <c r="A29" t="s">
        <v>5</v>
      </c>
      <c r="B29" t="s">
        <v>7</v>
      </c>
      <c r="C29" t="s">
        <v>11</v>
      </c>
    </row>
    <row r="30" spans="1:3" x14ac:dyDescent="0.25">
      <c r="A30" t="s">
        <v>5</v>
      </c>
      <c r="B30" t="s">
        <v>23</v>
      </c>
      <c r="C30" t="s">
        <v>37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Hidden!$B$3:$B$4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T5"/>
  <sheetViews>
    <sheetView topLeftCell="A3" workbookViewId="0">
      <selection activeCell="H8" sqref="H8"/>
    </sheetView>
  </sheetViews>
  <sheetFormatPr defaultRowHeight="15" x14ac:dyDescent="0.25"/>
  <cols>
    <col min="3" max="3" width="4.5703125" customWidth="1"/>
    <col min="4" max="4" width="10.7109375" bestFit="1" customWidth="1"/>
    <col min="5" max="5" width="5.140625" customWidth="1"/>
    <col min="6" max="6" width="10.42578125" customWidth="1"/>
    <col min="7" max="7" width="13" customWidth="1"/>
    <col min="9" max="9" width="5.42578125" customWidth="1"/>
    <col min="10" max="11" width="14" customWidth="1"/>
    <col min="12" max="12" width="5.140625" customWidth="1"/>
    <col min="13" max="13" width="18.42578125" customWidth="1"/>
    <col min="14" max="14" width="5.140625" customWidth="1"/>
    <col min="15" max="15" width="6.85546875" customWidth="1"/>
    <col min="16" max="16" width="6" customWidth="1"/>
    <col min="17" max="17" width="22.28515625" customWidth="1"/>
    <col min="18" max="19" width="17.85546875" customWidth="1"/>
    <col min="20" max="20" width="18.5703125" style="17" bestFit="1" customWidth="1"/>
    <col min="21" max="21" width="22.140625" bestFit="1" customWidth="1"/>
  </cols>
  <sheetData>
    <row r="2" spans="1:18" x14ac:dyDescent="0.25">
      <c r="A2" s="13" t="s">
        <v>70</v>
      </c>
      <c r="D2" s="13" t="s">
        <v>71</v>
      </c>
      <c r="E2" s="13"/>
      <c r="F2" s="13"/>
      <c r="G2" s="13"/>
      <c r="J2" s="13" t="s">
        <v>72</v>
      </c>
      <c r="K2" s="13"/>
      <c r="L2" s="13"/>
      <c r="M2" s="13"/>
      <c r="N2" s="13"/>
      <c r="O2" s="13"/>
      <c r="P2" s="13"/>
      <c r="Q2" s="13"/>
      <c r="R2" s="13"/>
    </row>
    <row r="3" spans="1:18" x14ac:dyDescent="0.25">
      <c r="B3" t="s">
        <v>5</v>
      </c>
      <c r="E3" t="s">
        <v>77</v>
      </c>
      <c r="F3" t="s">
        <v>78</v>
      </c>
      <c r="G3" t="s">
        <v>79</v>
      </c>
      <c r="J3">
        <v>1</v>
      </c>
      <c r="K3" t="s">
        <v>46</v>
      </c>
      <c r="L3" t="s">
        <v>77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</row>
    <row r="4" spans="1:18" x14ac:dyDescent="0.25">
      <c r="B4" t="s">
        <v>67</v>
      </c>
      <c r="E4">
        <v>1</v>
      </c>
      <c r="F4" t="s">
        <v>73</v>
      </c>
      <c r="G4" t="s">
        <v>76</v>
      </c>
      <c r="K4">
        <v>1</v>
      </c>
      <c r="L4">
        <v>1</v>
      </c>
      <c r="M4" t="s">
        <v>88</v>
      </c>
      <c r="N4">
        <v>1.35</v>
      </c>
      <c r="O4">
        <v>3.5000000000000003E-2</v>
      </c>
      <c r="P4">
        <v>0.2</v>
      </c>
      <c r="Q4" t="s">
        <v>89</v>
      </c>
    </row>
    <row r="5" spans="1:18" x14ac:dyDescent="0.25">
      <c r="E5">
        <v>2</v>
      </c>
      <c r="F5" t="s">
        <v>74</v>
      </c>
      <c r="G5" t="s">
        <v>75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Position</vt:lpstr>
      <vt:lpstr>Holidays</vt:lpstr>
      <vt:lpstr>Hidden</vt:lpstr>
      <vt:lpstr>Hidden_portfolio_ID</vt:lpstr>
      <vt:lpstr>port_rate</vt:lpstr>
      <vt:lpstr>port_S</vt:lpstr>
      <vt:lpstr>port_vol</vt:lpstr>
      <vt:lpstr>portfolio_ctrl</vt:lpstr>
      <vt:lpstr>valuation_ctrl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O'Kane</dc:creator>
  <cp:lastModifiedBy>Shaun O'Kane</cp:lastModifiedBy>
  <dcterms:created xsi:type="dcterms:W3CDTF">2026-03-01T03:33:23Z</dcterms:created>
  <dcterms:modified xsi:type="dcterms:W3CDTF">2026-03-02T18:01:42Z</dcterms:modified>
</cp:coreProperties>
</file>