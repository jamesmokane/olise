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blahblahblah\"/>
    </mc:Choice>
  </mc:AlternateContent>
  <xr:revisionPtr revIDLastSave="0" documentId="13_ncr:1_{686BD22F-F9B8-4686-B55B-A7D0C5A2E70E}" xr6:coauthVersionLast="47" xr6:coauthVersionMax="47" xr10:uidLastSave="{00000000-0000-0000-0000-000000000000}"/>
  <bookViews>
    <workbookView xWindow="-108" yWindow="-108" windowWidth="23256" windowHeight="12456" xr2:uid="{2A1A9440-079E-48B2-A0D4-827C7691A225}"/>
  </bookViews>
  <sheets>
    <sheet name="Sheet1" sheetId="1" r:id="rId1"/>
  </sheets>
  <definedNames>
    <definedName name="d">Sheet1!$B$12</definedName>
    <definedName name="dt">Sheet1!$B$14</definedName>
    <definedName name="K">Sheet1!$B$2</definedName>
    <definedName name="p">Sheet1!$B$9</definedName>
    <definedName name="Principle">Sheet1!$B$7</definedName>
    <definedName name="q">Sheet1!$B$10</definedName>
    <definedName name="rate">Sheet1!$B$6</definedName>
    <definedName name="S">Sheet1!$B$3</definedName>
    <definedName name="T">Sheet1!$B$4</definedName>
    <definedName name="u">Sheet1!$B$11</definedName>
    <definedName name="vol">Sheet1!$B$5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N34" i="1"/>
  <c r="N32" i="1"/>
  <c r="N30" i="1"/>
  <c r="N28" i="1"/>
  <c r="N26" i="1"/>
  <c r="N24" i="1"/>
  <c r="N22" i="1"/>
  <c r="N20" i="1"/>
  <c r="N18" i="1"/>
  <c r="N16" i="1"/>
  <c r="N14" i="1"/>
  <c r="B14" i="1"/>
  <c r="B24" i="1"/>
  <c r="B11" i="1"/>
  <c r="C23" i="1" s="1"/>
  <c r="D22" i="1" s="1"/>
  <c r="E21" i="1" s="1"/>
  <c r="F20" i="1" s="1"/>
  <c r="G19" i="1" s="1"/>
  <c r="H18" i="1" s="1"/>
  <c r="I17" i="1" s="1"/>
  <c r="J16" i="1" s="1"/>
  <c r="K15" i="1" s="1"/>
  <c r="L14" i="1" l="1"/>
  <c r="B12" i="1"/>
  <c r="L16" i="1" s="1"/>
  <c r="C25" i="1" l="1"/>
  <c r="B9" i="1"/>
  <c r="Q15" i="1" l="1"/>
  <c r="B10" i="1"/>
  <c r="O17" i="1" s="1"/>
  <c r="D24" i="1"/>
  <c r="E23" i="1" s="1"/>
  <c r="F22" i="1" s="1"/>
  <c r="G21" i="1" s="1"/>
  <c r="H20" i="1" s="1"/>
  <c r="I19" i="1" s="1"/>
  <c r="J18" i="1" s="1"/>
  <c r="K17" i="1" s="1"/>
  <c r="Q17" i="1" s="1"/>
  <c r="D26" i="1"/>
  <c r="O23" i="1" l="1"/>
  <c r="O19" i="1"/>
  <c r="O21" i="1"/>
  <c r="O27" i="1"/>
  <c r="O31" i="1"/>
  <c r="O25" i="1"/>
  <c r="O29" i="1"/>
  <c r="O33" i="1"/>
  <c r="E25" i="1"/>
  <c r="F24" i="1" s="1"/>
  <c r="G23" i="1" s="1"/>
  <c r="H22" i="1" s="1"/>
  <c r="I21" i="1" s="1"/>
  <c r="J20" i="1" s="1"/>
  <c r="K19" i="1" s="1"/>
  <c r="E27" i="1"/>
  <c r="L18" i="1" l="1"/>
  <c r="Q19" i="1"/>
  <c r="F26" i="1"/>
  <c r="G25" i="1" s="1"/>
  <c r="H24" i="1" s="1"/>
  <c r="I23" i="1" s="1"/>
  <c r="J22" i="1" s="1"/>
  <c r="K21" i="1" s="1"/>
  <c r="F28" i="1"/>
  <c r="Q21" i="1" l="1"/>
  <c r="L20" i="1"/>
  <c r="G27" i="1"/>
  <c r="H26" i="1" s="1"/>
  <c r="I25" i="1" s="1"/>
  <c r="J24" i="1" s="1"/>
  <c r="K23" i="1" s="1"/>
  <c r="G29" i="1"/>
  <c r="Q23" i="1" l="1"/>
  <c r="L22" i="1"/>
  <c r="H30" i="1"/>
  <c r="H28" i="1"/>
  <c r="I27" i="1" s="1"/>
  <c r="J26" i="1" s="1"/>
  <c r="K25" i="1" s="1"/>
  <c r="Q25" i="1" l="1"/>
  <c r="L24" i="1"/>
  <c r="I29" i="1"/>
  <c r="J28" i="1" s="1"/>
  <c r="K27" i="1" s="1"/>
  <c r="I31" i="1"/>
  <c r="Q27" i="1" l="1"/>
  <c r="L26" i="1"/>
  <c r="J30" i="1"/>
  <c r="K29" i="1" s="1"/>
  <c r="J32" i="1"/>
  <c r="Q29" i="1" l="1"/>
  <c r="L28" i="1"/>
  <c r="K31" i="1"/>
  <c r="K33" i="1"/>
  <c r="Q33" i="1" l="1"/>
  <c r="L32" i="1"/>
  <c r="L34" i="1"/>
  <c r="Q31" i="1"/>
  <c r="L30" i="1"/>
  <c r="Q34" i="1" l="1"/>
  <c r="Q36" i="1" s="1"/>
  <c r="Q37" i="1" s="1"/>
</calcChain>
</file>

<file path=xl/sharedStrings.xml><?xml version="1.0" encoding="utf-8"?>
<sst xmlns="http://schemas.openxmlformats.org/spreadsheetml/2006/main" count="16" uniqueCount="16">
  <si>
    <t>Strike (K)</t>
  </si>
  <si>
    <t>Spot (S)</t>
  </si>
  <si>
    <t>Maturity (T)</t>
  </si>
  <si>
    <r>
      <t>Volatility (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</rPr>
      <t>)</t>
    </r>
  </si>
  <si>
    <t>Interest rate (r )</t>
  </si>
  <si>
    <t>Principal</t>
  </si>
  <si>
    <t>Prob up (p)</t>
  </si>
  <si>
    <t>Prob down (q)</t>
  </si>
  <si>
    <t>Up (u)</t>
  </si>
  <si>
    <t>Down (d)</t>
  </si>
  <si>
    <t>dt</t>
  </si>
  <si>
    <t>Payout</t>
  </si>
  <si>
    <t>Prob</t>
  </si>
  <si>
    <t>FUTURE VALUE =</t>
  </si>
  <si>
    <t>PRESENT VALUE =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</si>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</sst>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7.xml"/><Relationship Id="rId13" Type="http://schemas.openxmlformats.org/officeDocument/2006/relationships/customXml" Target="../ink/ink12.xml"/><Relationship Id="rId3" Type="http://schemas.openxmlformats.org/officeDocument/2006/relationships/customXml" Target="../ink/ink2.xml"/><Relationship Id="rId7" Type="http://schemas.openxmlformats.org/officeDocument/2006/relationships/customXml" Target="../ink/ink6.xml"/><Relationship Id="rId12" Type="http://schemas.openxmlformats.org/officeDocument/2006/relationships/customXml" Target="../ink/ink11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1" Type="http://schemas.openxmlformats.org/officeDocument/2006/relationships/customXml" Target="../ink/ink10.xml"/><Relationship Id="rId5" Type="http://schemas.openxmlformats.org/officeDocument/2006/relationships/customXml" Target="../ink/ink4.xml"/><Relationship Id="rId10" Type="http://schemas.openxmlformats.org/officeDocument/2006/relationships/customXml" Target="../ink/ink9.xml"/><Relationship Id="rId4" Type="http://schemas.openxmlformats.org/officeDocument/2006/relationships/customXml" Target="../ink/ink3.xml"/><Relationship Id="rId9" Type="http://schemas.openxmlformats.org/officeDocument/2006/relationships/customXml" Target="../ink/ink8.xml"/><Relationship Id="rId14" Type="http://schemas.openxmlformats.org/officeDocument/2006/relationships/customXml" Target="../ink/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198000</xdr:colOff>
      <xdr:row>4</xdr:row>
      <xdr:rowOff>167760</xdr:rowOff>
    </xdr:from>
    <xdr:to>
      <xdr:col>8</xdr:col>
      <xdr:colOff>198360</xdr:colOff>
      <xdr:row>4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79A9C1F-D5E7-4EDD-B663-64348AB277E4}"/>
                </a:ext>
              </a:extLst>
            </xdr14:cNvPr>
            <xdr14:cNvContentPartPr/>
          </xdr14:nvContentPartPr>
          <xdr14:nvPr macro=""/>
          <xdr14:xfrm>
            <a:off x="5501520" y="8992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95277D7-AD30-A9DD-11CC-DD3B919A21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95400" y="892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60720</xdr:colOff>
      <xdr:row>7</xdr:row>
      <xdr:rowOff>83880</xdr:rowOff>
    </xdr:from>
    <xdr:to>
      <xdr:col>9</xdr:col>
      <xdr:colOff>61080</xdr:colOff>
      <xdr:row>7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D3D6DC9-3973-4088-B017-E9EC5E00D462}"/>
                </a:ext>
              </a:extLst>
            </xdr14:cNvPr>
            <xdr14:cNvContentPartPr/>
          </xdr14:nvContentPartPr>
          <xdr14:nvPr macro=""/>
          <xdr14:xfrm>
            <a:off x="5973840" y="136404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189A909-833C-33B6-8371-FAD4777FCD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967720" y="1357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121800</xdr:colOff>
      <xdr:row>7</xdr:row>
      <xdr:rowOff>52920</xdr:rowOff>
    </xdr:from>
    <xdr:to>
      <xdr:col>4</xdr:col>
      <xdr:colOff>122160</xdr:colOff>
      <xdr:row>7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0821485-ABB8-4CFC-88B2-72BAAFA6AC15}"/>
                </a:ext>
              </a:extLst>
            </xdr14:cNvPr>
            <xdr14:cNvContentPartPr/>
          </xdr14:nvContentPartPr>
          <xdr14:nvPr macro=""/>
          <xdr14:xfrm>
            <a:off x="2986920" y="13330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08A1554-5BC4-D834-BBF9-7481963909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80800" y="132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121800</xdr:colOff>
      <xdr:row>7</xdr:row>
      <xdr:rowOff>52920</xdr:rowOff>
    </xdr:from>
    <xdr:to>
      <xdr:col>4</xdr:col>
      <xdr:colOff>122160</xdr:colOff>
      <xdr:row>7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025022E-CB28-4CA1-9217-4013E91FB442}"/>
                </a:ext>
              </a:extLst>
            </xdr14:cNvPr>
            <xdr14:cNvContentPartPr/>
          </xdr14:nvContentPartPr>
          <xdr14:nvPr macro=""/>
          <xdr14:xfrm>
            <a:off x="2986920" y="13330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0BAEBF2-40AE-6B25-8689-C864DD9C11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80800" y="132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121800</xdr:colOff>
      <xdr:row>7</xdr:row>
      <xdr:rowOff>52920</xdr:rowOff>
    </xdr:from>
    <xdr:to>
      <xdr:col>4</xdr:col>
      <xdr:colOff>122160</xdr:colOff>
      <xdr:row>7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0B04835-602A-4A6E-BC77-8CAA59E7D4DC}"/>
                </a:ext>
              </a:extLst>
            </xdr14:cNvPr>
            <xdr14:cNvContentPartPr/>
          </xdr14:nvContentPartPr>
          <xdr14:nvPr macro=""/>
          <xdr14:xfrm>
            <a:off x="2986920" y="13330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EF1283F-BBD4-E61B-E753-FEBC697513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80800" y="132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121800</xdr:colOff>
      <xdr:row>7</xdr:row>
      <xdr:rowOff>52920</xdr:rowOff>
    </xdr:from>
    <xdr:to>
      <xdr:col>4</xdr:col>
      <xdr:colOff>122160</xdr:colOff>
      <xdr:row>7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0962315-0200-498D-8B09-83F0E731CAF0}"/>
                </a:ext>
              </a:extLst>
            </xdr14:cNvPr>
            <xdr14:cNvContentPartPr/>
          </xdr14:nvContentPartPr>
          <xdr14:nvPr macro=""/>
          <xdr14:xfrm>
            <a:off x="2986920" y="13330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16EFDA8-4412-3E9F-04E2-BB39C8F914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80800" y="132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121800</xdr:colOff>
      <xdr:row>7</xdr:row>
      <xdr:rowOff>52920</xdr:rowOff>
    </xdr:from>
    <xdr:to>
      <xdr:col>4</xdr:col>
      <xdr:colOff>122160</xdr:colOff>
      <xdr:row>7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B6D3DE1-2C5F-40F5-B585-A71384872B16}"/>
                </a:ext>
              </a:extLst>
            </xdr14:cNvPr>
            <xdr14:cNvContentPartPr/>
          </xdr14:nvContentPartPr>
          <xdr14:nvPr macro=""/>
          <xdr14:xfrm>
            <a:off x="2986920" y="13330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4BF5FA5-E77C-A6E2-D6B9-6A60C4C296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80800" y="132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121800</xdr:colOff>
      <xdr:row>7</xdr:row>
      <xdr:rowOff>52920</xdr:rowOff>
    </xdr:from>
    <xdr:to>
      <xdr:col>4</xdr:col>
      <xdr:colOff>122160</xdr:colOff>
      <xdr:row>7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0599FD1-A48C-4B79-8FB2-9DCB876CC2B8}"/>
                </a:ext>
              </a:extLst>
            </xdr14:cNvPr>
            <xdr14:cNvContentPartPr/>
          </xdr14:nvContentPartPr>
          <xdr14:nvPr macro=""/>
          <xdr14:xfrm>
            <a:off x="2986920" y="13330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11D418D-612A-1BF7-4953-E4A75127D3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80800" y="132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274080</xdr:colOff>
      <xdr:row>6</xdr:row>
      <xdr:rowOff>121680</xdr:rowOff>
    </xdr:from>
    <xdr:to>
      <xdr:col>1</xdr:col>
      <xdr:colOff>274440</xdr:colOff>
      <xdr:row>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154C61D0-57E3-45E2-8F91-A9421163F43F}"/>
                </a:ext>
              </a:extLst>
            </xdr14:cNvPr>
            <xdr14:cNvContentPartPr/>
          </xdr14:nvContentPartPr>
          <xdr14:nvPr macro=""/>
          <xdr14:xfrm>
            <a:off x="1310400" y="121896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7854914-8972-6E6C-CC8F-5E7BA89BCF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04280" y="1212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243720</xdr:colOff>
      <xdr:row>3</xdr:row>
      <xdr:rowOff>174960</xdr:rowOff>
    </xdr:from>
    <xdr:to>
      <xdr:col>5</xdr:col>
      <xdr:colOff>244080</xdr:colOff>
      <xdr:row>3</xdr:row>
      <xdr:rowOff>175320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95CFDA6-C9F3-415E-86EF-B4A5FE6CEA2A}"/>
                </a:ext>
              </a:extLst>
            </xdr14:cNvPr>
            <xdr14:cNvContentPartPr/>
          </xdr14:nvContentPartPr>
          <xdr14:nvPr macro=""/>
          <xdr14:xfrm>
            <a:off x="3718440" y="72360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32B422A-EE1D-2B41-EFD7-0DCC0A3D8C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12320" y="717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350400</xdr:colOff>
      <xdr:row>6</xdr:row>
      <xdr:rowOff>121680</xdr:rowOff>
    </xdr:from>
    <xdr:to>
      <xdr:col>1</xdr:col>
      <xdr:colOff>350760</xdr:colOff>
      <xdr:row>6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DC8C913-1605-45D6-BC63-E8AFE7A11A9C}"/>
                </a:ext>
              </a:extLst>
            </xdr14:cNvPr>
            <xdr14:cNvContentPartPr/>
          </xdr14:nvContentPartPr>
          <xdr14:nvPr macro=""/>
          <xdr14:xfrm>
            <a:off x="1386720" y="121896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FBEFFA3-4922-EF9F-3BD5-EE3ACB4DD3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0600" y="1212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381000</xdr:colOff>
      <xdr:row>6</xdr:row>
      <xdr:rowOff>106560</xdr:rowOff>
    </xdr:from>
    <xdr:to>
      <xdr:col>1</xdr:col>
      <xdr:colOff>381360</xdr:colOff>
      <xdr:row>6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1377483-D740-4C5F-B383-3B8CE00F00EA}"/>
                </a:ext>
              </a:extLst>
            </xdr14:cNvPr>
            <xdr14:cNvContentPartPr/>
          </xdr14:nvContentPartPr>
          <xdr14:nvPr macro=""/>
          <xdr14:xfrm>
            <a:off x="1417320" y="120384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C3873096-918A-E513-8DA8-046458606F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11200" y="1197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594240</xdr:colOff>
      <xdr:row>7</xdr:row>
      <xdr:rowOff>98640</xdr:rowOff>
    </xdr:from>
    <xdr:to>
      <xdr:col>6</xdr:col>
      <xdr:colOff>594600</xdr:colOff>
      <xdr:row>7</xdr:row>
      <xdr:rowOff>99000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1ECF082-327A-4295-8693-976CF0BF6087}"/>
                </a:ext>
              </a:extLst>
            </xdr14:cNvPr>
            <xdr14:cNvContentPartPr/>
          </xdr14:nvContentPartPr>
          <xdr14:nvPr macro=""/>
          <xdr14:xfrm>
            <a:off x="4678560" y="1378800"/>
            <a:ext cx="3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0BD03D7-4477-2E54-31E6-BEA2AFB0A7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72440" y="13726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20T01:13:55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24575,'-1'0'-8191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030B-850C-49C3-8EBC-D20968490347}">
  <sheetPr codeName="Sheet1"/>
  <dimension ref="A2:Q37"/>
  <sheetViews>
    <sheetView tabSelected="1" workbookViewId="0">
      <selection activeCell="O15" sqref="O15"/>
    </sheetView>
  </sheetViews>
  <sheetFormatPr defaultRowHeight="14.4" x14ac:dyDescent="0.3"/>
  <cols>
    <col min="1" max="1" width="14" customWidth="1"/>
    <col min="16" max="16" width="15.5546875" customWidth="1"/>
  </cols>
  <sheetData>
    <row r="2" spans="1:17" x14ac:dyDescent="0.3">
      <c r="A2" t="s">
        <v>0</v>
      </c>
      <c r="B2">
        <v>60</v>
      </c>
    </row>
    <row r="3" spans="1:17" x14ac:dyDescent="0.3">
      <c r="A3" t="s">
        <v>1</v>
      </c>
      <c r="B3">
        <v>50</v>
      </c>
    </row>
    <row r="4" spans="1:17" x14ac:dyDescent="0.3">
      <c r="A4" t="s">
        <v>2</v>
      </c>
      <c r="B4">
        <v>10</v>
      </c>
    </row>
    <row r="5" spans="1:17" x14ac:dyDescent="0.3">
      <c r="A5" t="s">
        <v>3</v>
      </c>
      <c r="B5">
        <v>0.2</v>
      </c>
    </row>
    <row r="6" spans="1:17" x14ac:dyDescent="0.3">
      <c r="A6" t="s">
        <v>4</v>
      </c>
      <c r="B6">
        <v>0.05</v>
      </c>
    </row>
    <row r="7" spans="1:17" x14ac:dyDescent="0.3">
      <c r="A7" t="s">
        <v>5</v>
      </c>
      <c r="B7">
        <v>100000</v>
      </c>
    </row>
    <row r="9" spans="1:17" x14ac:dyDescent="0.3">
      <c r="A9" t="s">
        <v>6</v>
      </c>
      <c r="B9">
        <f>(EXP(rate*dt)-d)/(u-d)</f>
        <v>0.57749319635612428</v>
      </c>
    </row>
    <row r="10" spans="1:17" x14ac:dyDescent="0.3">
      <c r="A10" t="s">
        <v>7</v>
      </c>
      <c r="B10">
        <f>1-p</f>
        <v>0.42250680364387572</v>
      </c>
    </row>
    <row r="11" spans="1:17" x14ac:dyDescent="0.3">
      <c r="A11" t="s">
        <v>8</v>
      </c>
      <c r="B11">
        <f>EXP(vol*SQRT(dt))</f>
        <v>1.2214027581601699</v>
      </c>
    </row>
    <row r="12" spans="1:17" x14ac:dyDescent="0.3">
      <c r="A12" t="s">
        <v>9</v>
      </c>
      <c r="B12">
        <f>1/u</f>
        <v>0.81873075307798182</v>
      </c>
    </row>
    <row r="13" spans="1:17" x14ac:dyDescent="0.3">
      <c r="N13" t="s">
        <v>11</v>
      </c>
    </row>
    <row r="14" spans="1:17" x14ac:dyDescent="0.3">
      <c r="A14" t="s">
        <v>10</v>
      </c>
      <c r="B14">
        <f>T/10</f>
        <v>1</v>
      </c>
      <c r="L14">
        <f>K15*u</f>
        <v>369.45280494653247</v>
      </c>
      <c r="N14">
        <f>MAX(L14-S,0)</f>
        <v>319.45280494653247</v>
      </c>
      <c r="O14" t="s">
        <v>12</v>
      </c>
    </row>
    <row r="15" spans="1:17" x14ac:dyDescent="0.3">
      <c r="K15">
        <f>J16*u</f>
        <v>302.48237322064728</v>
      </c>
      <c r="O15" t="s">
        <v>15</v>
      </c>
      <c r="Q15" t="e">
        <f>N15*O15</f>
        <v>#VALUE!</v>
      </c>
    </row>
    <row r="16" spans="1:17" x14ac:dyDescent="0.3">
      <c r="J16">
        <f>I17*u</f>
        <v>247.6516212197557</v>
      </c>
      <c r="L16">
        <f>K15*d</f>
        <v>247.6516212197557</v>
      </c>
      <c r="N16">
        <f>MAX(L16-S,0)</f>
        <v>197.6516212197557</v>
      </c>
    </row>
    <row r="17" spans="2:17" x14ac:dyDescent="0.3">
      <c r="I17">
        <f>H18*u</f>
        <v>202.7599983422337</v>
      </c>
      <c r="K17">
        <f>J18*u</f>
        <v>202.7599983422337</v>
      </c>
      <c r="O17">
        <f>q*p^9</f>
        <v>3.0182524025955419E-3</v>
      </c>
      <c r="Q17">
        <f>N17*O17</f>
        <v>0</v>
      </c>
    </row>
    <row r="18" spans="2:17" x14ac:dyDescent="0.3">
      <c r="H18">
        <f>G19*u</f>
        <v>166.00584613682736</v>
      </c>
      <c r="J18">
        <f>I19*u</f>
        <v>166.00584613682736</v>
      </c>
      <c r="L18">
        <f>K19*u</f>
        <v>166.00584613682736</v>
      </c>
      <c r="N18">
        <f>MAX(L18-S,0)</f>
        <v>116.00584613682736</v>
      </c>
    </row>
    <row r="19" spans="2:17" x14ac:dyDescent="0.3">
      <c r="G19">
        <f>F20*u</f>
        <v>135.91409142295225</v>
      </c>
      <c r="I19">
        <f>H20*u</f>
        <v>135.91409142295225</v>
      </c>
      <c r="K19">
        <f>J20*u</f>
        <v>135.91409142295225</v>
      </c>
      <c r="O19">
        <f>p^8 * q^2</f>
        <v>2.2082202582776227E-3</v>
      </c>
      <c r="Q19">
        <f>N19*O19</f>
        <v>0</v>
      </c>
    </row>
    <row r="20" spans="2:17" x14ac:dyDescent="0.3">
      <c r="F20">
        <f>E21*u</f>
        <v>111.27704642462338</v>
      </c>
      <c r="H20">
        <f>G21*u</f>
        <v>111.27704642462338</v>
      </c>
      <c r="J20">
        <f>I21*u</f>
        <v>111.27704642462338</v>
      </c>
      <c r="L20">
        <f>K21*u</f>
        <v>111.27704642462338</v>
      </c>
      <c r="N20">
        <f>MAX(L20-S,0)</f>
        <v>61.277046424623379</v>
      </c>
    </row>
    <row r="21" spans="2:17" x14ac:dyDescent="0.3">
      <c r="E21">
        <f>D22*u</f>
        <v>91.105940019525448</v>
      </c>
      <c r="G21">
        <f>F22*u</f>
        <v>91.105940019525448</v>
      </c>
      <c r="I21">
        <f>H22*u</f>
        <v>91.105940019525448</v>
      </c>
      <c r="K21">
        <f>J22*u</f>
        <v>91.105940019525448</v>
      </c>
      <c r="O21">
        <f>p^7 * q^3</f>
        <v>1.6155828137084823E-3</v>
      </c>
      <c r="Q21">
        <f>N21*O21</f>
        <v>0</v>
      </c>
    </row>
    <row r="22" spans="2:17" x14ac:dyDescent="0.3">
      <c r="D22">
        <f>C23*u</f>
        <v>74.591234882063517</v>
      </c>
      <c r="F22">
        <f>E23*u</f>
        <v>74.591234882063517</v>
      </c>
      <c r="H22">
        <f>G23*u</f>
        <v>74.591234882063517</v>
      </c>
      <c r="J22">
        <f>I23*u</f>
        <v>74.591234882063517</v>
      </c>
      <c r="L22">
        <f>K23*u</f>
        <v>74.591234882063517</v>
      </c>
      <c r="N22">
        <f>MAX(L22-S,0)</f>
        <v>24.591234882063517</v>
      </c>
    </row>
    <row r="23" spans="2:17" x14ac:dyDescent="0.3">
      <c r="C23">
        <f>S*u</f>
        <v>61.070137908008491</v>
      </c>
      <c r="E23">
        <f>D24*u</f>
        <v>61.070137908008491</v>
      </c>
      <c r="G23">
        <f>F24*u</f>
        <v>61.070137908008491</v>
      </c>
      <c r="I23">
        <f>H24*u</f>
        <v>61.070137908008491</v>
      </c>
      <c r="K23">
        <f>J24*u</f>
        <v>61.070137908008491</v>
      </c>
      <c r="O23">
        <f>p^6 * q^4</f>
        <v>1.181996142896569E-3</v>
      </c>
      <c r="Q23">
        <f>N23*O23</f>
        <v>0</v>
      </c>
    </row>
    <row r="24" spans="2:17" x14ac:dyDescent="0.3">
      <c r="B24">
        <f>S</f>
        <v>50</v>
      </c>
      <c r="D24">
        <f>C25*u</f>
        <v>50</v>
      </c>
      <c r="F24">
        <f>E25*u</f>
        <v>50</v>
      </c>
      <c r="H24">
        <f>G25*u</f>
        <v>50</v>
      </c>
      <c r="J24">
        <f>I25*u</f>
        <v>50</v>
      </c>
      <c r="L24">
        <f>K25*u</f>
        <v>50</v>
      </c>
      <c r="N24">
        <f>MAX(L24-S,0)</f>
        <v>0</v>
      </c>
    </row>
    <row r="25" spans="2:17" x14ac:dyDescent="0.3">
      <c r="C25">
        <f>S*d</f>
        <v>40.936537653899094</v>
      </c>
      <c r="E25">
        <f>D26*u</f>
        <v>40.936537653899094</v>
      </c>
      <c r="G25">
        <f>F26*u</f>
        <v>40.936537653899094</v>
      </c>
      <c r="I25">
        <f>H26*u</f>
        <v>40.936537653899094</v>
      </c>
      <c r="K25">
        <f>J26*u</f>
        <v>40.936537653899094</v>
      </c>
      <c r="O25">
        <f>p^5 * q^5</f>
        <v>8.6477453830755089E-4</v>
      </c>
      <c r="Q25">
        <f>N25*O25</f>
        <v>0</v>
      </c>
    </row>
    <row r="26" spans="2:17" x14ac:dyDescent="0.3">
      <c r="D26">
        <f>C25*d</f>
        <v>33.516002301781967</v>
      </c>
      <c r="F26">
        <f>E27*u</f>
        <v>33.516002301781967</v>
      </c>
      <c r="H26">
        <f>G27*u</f>
        <v>33.516002301781967</v>
      </c>
      <c r="J26">
        <f>I27*u</f>
        <v>33.516002301781967</v>
      </c>
      <c r="L26">
        <f>K27*u</f>
        <v>33.516002301781967</v>
      </c>
      <c r="N26">
        <f>MAX(L26-S,0)</f>
        <v>0</v>
      </c>
    </row>
    <row r="27" spans="2:17" x14ac:dyDescent="0.3">
      <c r="E27">
        <f>D26*d</f>
        <v>27.440581804701321</v>
      </c>
      <c r="G27">
        <f>F28*u</f>
        <v>27.440581804701321</v>
      </c>
      <c r="I27">
        <f>H28*u</f>
        <v>27.440581804701321</v>
      </c>
      <c r="K27">
        <f>J28*u</f>
        <v>27.440581804701321</v>
      </c>
      <c r="O27">
        <f>p^4 * q^6</f>
        <v>6.3268819158107626E-4</v>
      </c>
      <c r="Q27">
        <f>N27*O27</f>
        <v>0</v>
      </c>
    </row>
    <row r="28" spans="2:17" x14ac:dyDescent="0.3">
      <c r="F28">
        <f>E27*d</f>
        <v>22.466448205861077</v>
      </c>
      <c r="H28">
        <f>G29*u</f>
        <v>22.466448205861077</v>
      </c>
      <c r="J28">
        <f>I29*u</f>
        <v>22.466448205861077</v>
      </c>
      <c r="L28">
        <f>K29*u</f>
        <v>22.466448205861077</v>
      </c>
      <c r="N28">
        <f>MAX(L28-S,0)</f>
        <v>0</v>
      </c>
    </row>
    <row r="29" spans="2:17" x14ac:dyDescent="0.3">
      <c r="G29">
        <f>F28*d</f>
        <v>18.393972058572114</v>
      </c>
      <c r="I29">
        <f>H30*u</f>
        <v>18.393972058572114</v>
      </c>
      <c r="K29">
        <f>J30*u</f>
        <v>18.393972058572114</v>
      </c>
      <c r="O29">
        <f>p^3 * q^7</f>
        <v>4.6288868373662846E-4</v>
      </c>
      <c r="Q29">
        <f>N29*O29</f>
        <v>0</v>
      </c>
    </row>
    <row r="30" spans="2:17" x14ac:dyDescent="0.3">
      <c r="H30">
        <f>G29*d</f>
        <v>15.059710595610103</v>
      </c>
      <c r="J30">
        <f>I31*u</f>
        <v>15.059710595610103</v>
      </c>
      <c r="L30">
        <f>K31*u</f>
        <v>15.059710595610103</v>
      </c>
      <c r="N30">
        <f>MAX(L30-S,0)</f>
        <v>0</v>
      </c>
    </row>
    <row r="31" spans="2:17" x14ac:dyDescent="0.3">
      <c r="I31">
        <f>H30*d</f>
        <v>12.329848197080322</v>
      </c>
      <c r="K31">
        <f>J32*u</f>
        <v>12.329848197080322</v>
      </c>
      <c r="O31">
        <f>p^8 * q^2</f>
        <v>2.2082202582776227E-3</v>
      </c>
      <c r="Q31">
        <f>N31*O31</f>
        <v>0</v>
      </c>
    </row>
    <row r="32" spans="2:17" x14ac:dyDescent="0.3">
      <c r="J32">
        <f>I31*d</f>
        <v>10.094825899732768</v>
      </c>
      <c r="L32">
        <f>K33*u</f>
        <v>10.094825899732768</v>
      </c>
      <c r="N32">
        <f>MAX(L32-S,0)</f>
        <v>0</v>
      </c>
    </row>
    <row r="33" spans="11:17" x14ac:dyDescent="0.3">
      <c r="K33">
        <f>J32*d</f>
        <v>8.2649444110793251</v>
      </c>
      <c r="O33">
        <f>p * q^9</f>
        <v>2.4777086285492165E-4</v>
      </c>
      <c r="Q33">
        <f>N33*O33</f>
        <v>0</v>
      </c>
    </row>
    <row r="34" spans="11:17" x14ac:dyDescent="0.3">
      <c r="L34">
        <f>K33*d</f>
        <v>6.7667641618306327</v>
      </c>
      <c r="N34">
        <f>MAX(L34-S,0)</f>
        <v>0</v>
      </c>
      <c r="Q34" t="e">
        <f>SUM(Q15:Q33)</f>
        <v>#VALUE!</v>
      </c>
    </row>
    <row r="35" spans="11:17" x14ac:dyDescent="0.3">
      <c r="O35">
        <f>SUM(O15:O33)</f>
        <v>1.2440394152236012E-2</v>
      </c>
    </row>
    <row r="36" spans="11:17" x14ac:dyDescent="0.3">
      <c r="P36" t="s">
        <v>13</v>
      </c>
      <c r="Q36" t="e">
        <f>Q34*Principle</f>
        <v>#VALUE!</v>
      </c>
    </row>
    <row r="37" spans="11:17" x14ac:dyDescent="0.3">
      <c r="P37" t="s">
        <v>14</v>
      </c>
      <c r="Q37" t="e">
        <f xml:space="preserve"> 1/(1+ rate) * Q36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d</vt:lpstr>
      <vt:lpstr>dt</vt:lpstr>
      <vt:lpstr>K</vt:lpstr>
      <vt:lpstr>p</vt:lpstr>
      <vt:lpstr>Principle</vt:lpstr>
      <vt:lpstr>q</vt:lpstr>
      <vt:lpstr>rate</vt:lpstr>
      <vt:lpstr>S</vt:lpstr>
      <vt:lpstr>T</vt:lpstr>
      <vt:lpstr>u</vt:lpstr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O'Kane</dc:creator>
  <cp:lastModifiedBy>James O'Kane</cp:lastModifiedBy>
  <dcterms:created xsi:type="dcterms:W3CDTF">2026-01-20T01:12:57Z</dcterms:created>
  <dcterms:modified xsi:type="dcterms:W3CDTF">2026-02-01T15:59:02Z</dcterms:modified>
</cp:coreProperties>
</file>