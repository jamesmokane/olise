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olise\"/>
    </mc:Choice>
  </mc:AlternateContent>
  <xr:revisionPtr revIDLastSave="0" documentId="13_ncr:1_{3190632F-4E2E-4502-A3DF-3563B08F5F91}" xr6:coauthVersionLast="47" xr6:coauthVersionMax="47" xr10:uidLastSave="{00000000-0000-0000-0000-000000000000}"/>
  <bookViews>
    <workbookView xWindow="-108" yWindow="-108" windowWidth="23256" windowHeight="12456" xr2:uid="{2A1A9440-079E-48B2-A0D4-827C7691A225}"/>
  </bookViews>
  <sheets>
    <sheet name="Sheet1" sheetId="1" r:id="rId1"/>
  </sheets>
  <definedNames>
    <definedName name="d">Sheet1!$B$11</definedName>
    <definedName name="dt">Sheet1!$B$13</definedName>
    <definedName name="K">Sheet1!$B$1</definedName>
    <definedName name="p">Sheet1!$B$8</definedName>
    <definedName name="Principle">Sheet1!$B$6</definedName>
    <definedName name="q">Sheet1!$B$9</definedName>
    <definedName name="rate">Sheet1!$B$5</definedName>
    <definedName name="S">Sheet1!$B$2</definedName>
    <definedName name="T">Sheet1!$B$3</definedName>
    <definedName name="u">Sheet1!$B$10</definedName>
    <definedName name="vol">Sheet1!$B$4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" i="1" l="1"/>
  <c r="R36" i="1" l="1"/>
  <c r="Q33" i="1"/>
  <c r="Q31" i="1"/>
  <c r="Q29" i="1"/>
  <c r="Q27" i="1"/>
  <c r="Q25" i="1"/>
  <c r="Q23" i="1"/>
  <c r="Q21" i="1"/>
  <c r="Q19" i="1"/>
  <c r="N19" i="1"/>
  <c r="Q17" i="1"/>
  <c r="Q15" i="1"/>
  <c r="Q13" i="1"/>
  <c r="B13" i="1"/>
  <c r="B10" i="1" s="1"/>
  <c r="C22" i="1" s="1"/>
  <c r="D21" i="1" s="1"/>
  <c r="E20" i="1" s="1"/>
  <c r="F19" i="1" s="1"/>
  <c r="G18" i="1" s="1"/>
  <c r="H17" i="1" s="1"/>
  <c r="I16" i="1" s="1"/>
  <c r="J15" i="1" s="1"/>
  <c r="K14" i="1" s="1"/>
  <c r="B23" i="1"/>
  <c r="L13" i="1" l="1"/>
  <c r="N13" i="1" s="1"/>
  <c r="B11" i="1"/>
  <c r="L15" i="1" s="1"/>
  <c r="N15" i="1" s="1"/>
  <c r="C24" i="1" l="1"/>
  <c r="B8" i="1"/>
  <c r="O13" i="1" l="1"/>
  <c r="B9" i="1"/>
  <c r="O31" i="1" s="1"/>
  <c r="D23" i="1"/>
  <c r="E22" i="1" s="1"/>
  <c r="F21" i="1" s="1"/>
  <c r="G20" i="1" s="1"/>
  <c r="H19" i="1" s="1"/>
  <c r="I18" i="1" s="1"/>
  <c r="J17" i="1" s="1"/>
  <c r="K16" i="1" s="1"/>
  <c r="D25" i="1"/>
  <c r="O29" i="1" l="1"/>
  <c r="O33" i="1"/>
  <c r="O23" i="1"/>
  <c r="O19" i="1"/>
  <c r="O21" i="1"/>
  <c r="O15" i="1"/>
  <c r="O17" i="1"/>
  <c r="O25" i="1"/>
  <c r="O35" i="1" s="1"/>
  <c r="O27" i="1"/>
  <c r="E24" i="1"/>
  <c r="F23" i="1" s="1"/>
  <c r="G22" i="1" s="1"/>
  <c r="H21" i="1" s="1"/>
  <c r="I20" i="1" s="1"/>
  <c r="J19" i="1" s="1"/>
  <c r="K18" i="1" s="1"/>
  <c r="E26" i="1"/>
  <c r="L17" i="1" l="1"/>
  <c r="N17" i="1" s="1"/>
  <c r="F25" i="1"/>
  <c r="G24" i="1" s="1"/>
  <c r="H23" i="1" s="1"/>
  <c r="I22" i="1" s="1"/>
  <c r="J21" i="1" s="1"/>
  <c r="K20" i="1" s="1"/>
  <c r="F27" i="1"/>
  <c r="L19" i="1" l="1"/>
  <c r="G26" i="1"/>
  <c r="H25" i="1" s="1"/>
  <c r="I24" i="1" s="1"/>
  <c r="J23" i="1" s="1"/>
  <c r="K22" i="1" s="1"/>
  <c r="G28" i="1"/>
  <c r="L21" i="1" l="1"/>
  <c r="N21" i="1" s="1"/>
  <c r="H29" i="1"/>
  <c r="H27" i="1"/>
  <c r="I26" i="1" s="1"/>
  <c r="J25" i="1" s="1"/>
  <c r="K24" i="1" s="1"/>
  <c r="L23" i="1" l="1"/>
  <c r="N23" i="1" s="1"/>
  <c r="I28" i="1"/>
  <c r="J27" i="1" s="1"/>
  <c r="K26" i="1" s="1"/>
  <c r="I30" i="1"/>
  <c r="L25" i="1" l="1"/>
  <c r="N25" i="1" s="1"/>
  <c r="J29" i="1"/>
  <c r="K28" i="1" s="1"/>
  <c r="J31" i="1"/>
  <c r="L27" i="1" l="1"/>
  <c r="N27" i="1" s="1"/>
  <c r="K30" i="1"/>
  <c r="K32" i="1"/>
  <c r="L31" i="1" l="1"/>
  <c r="N31" i="1" s="1"/>
  <c r="L33" i="1"/>
  <c r="N33" i="1" s="1"/>
  <c r="L29" i="1"/>
  <c r="N29" i="1" s="1"/>
</calcChain>
</file>

<file path=xl/sharedStrings.xml><?xml version="1.0" encoding="utf-8"?>
<sst xmlns="http://schemas.openxmlformats.org/spreadsheetml/2006/main" count="16" uniqueCount="16">
  <si>
    <t>Strike (K)</t>
  </si>
  <si>
    <t>Spot (S)</t>
  </si>
  <si>
    <t>Maturity (T)</t>
  </si>
  <si>
    <r>
      <t>Volatility (</t>
    </r>
    <r>
      <rPr>
        <sz val="11"/>
        <color theme="1"/>
        <rFont val="Symbol"/>
        <family val="1"/>
        <charset val="2"/>
      </rPr>
      <t>s</t>
    </r>
    <r>
      <rPr>
        <sz val="11"/>
        <color theme="1"/>
        <rFont val="Calibri"/>
        <family val="2"/>
      </rPr>
      <t>)</t>
    </r>
  </si>
  <si>
    <t>Interest rate (r )</t>
  </si>
  <si>
    <t>Principal</t>
  </si>
  <si>
    <t>Prob up (p)</t>
  </si>
  <si>
    <t>Prob down (q)</t>
  </si>
  <si>
    <t>Up (u)</t>
  </si>
  <si>
    <t>Down (d)</t>
  </si>
  <si>
    <t>dt</t>
  </si>
  <si>
    <t>Payout</t>
  </si>
  <si>
    <t>Prob</t>
  </si>
  <si>
    <t>FUTURE VALUE =</t>
  </si>
  <si>
    <t>PRESENT VALUE =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</si>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</sst>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7.xml"/><Relationship Id="rId13" Type="http://schemas.openxmlformats.org/officeDocument/2006/relationships/customXml" Target="../ink/ink12.xml"/><Relationship Id="rId3" Type="http://schemas.openxmlformats.org/officeDocument/2006/relationships/customXml" Target="../ink/ink2.xml"/><Relationship Id="rId7" Type="http://schemas.openxmlformats.org/officeDocument/2006/relationships/customXml" Target="../ink/ink6.xml"/><Relationship Id="rId12" Type="http://schemas.openxmlformats.org/officeDocument/2006/relationships/customXml" Target="../ink/ink11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6" Type="http://schemas.openxmlformats.org/officeDocument/2006/relationships/customXml" Target="../ink/ink5.xml"/><Relationship Id="rId11" Type="http://schemas.openxmlformats.org/officeDocument/2006/relationships/customXml" Target="../ink/ink10.xml"/><Relationship Id="rId5" Type="http://schemas.openxmlformats.org/officeDocument/2006/relationships/customXml" Target="../ink/ink4.xml"/><Relationship Id="rId10" Type="http://schemas.openxmlformats.org/officeDocument/2006/relationships/customXml" Target="../ink/ink9.xml"/><Relationship Id="rId4" Type="http://schemas.openxmlformats.org/officeDocument/2006/relationships/customXml" Target="../ink/ink3.xml"/><Relationship Id="rId9" Type="http://schemas.openxmlformats.org/officeDocument/2006/relationships/customXml" Target="../ink/ink8.xml"/><Relationship Id="rId14" Type="http://schemas.openxmlformats.org/officeDocument/2006/relationships/customXml" Target="../ink/ink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198000</xdr:colOff>
      <xdr:row>3</xdr:row>
      <xdr:rowOff>167760</xdr:rowOff>
    </xdr:from>
    <xdr:to>
      <xdr:col>8</xdr:col>
      <xdr:colOff>198360</xdr:colOff>
      <xdr:row>3</xdr:row>
      <xdr:rowOff>168120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279A9C1F-D5E7-4EDD-B663-64348AB277E4}"/>
                </a:ext>
              </a:extLst>
            </xdr14:cNvPr>
            <xdr14:cNvContentPartPr/>
          </xdr14:nvContentPartPr>
          <xdr14:nvPr macro=""/>
          <xdr14:xfrm>
            <a:off x="5501520" y="899280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095277D7-AD30-A9DD-11CC-DD3B919A21FF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95400" y="8928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60720</xdr:colOff>
      <xdr:row>6</xdr:row>
      <xdr:rowOff>83880</xdr:rowOff>
    </xdr:from>
    <xdr:to>
      <xdr:col>9</xdr:col>
      <xdr:colOff>61080</xdr:colOff>
      <xdr:row>6</xdr:row>
      <xdr:rowOff>84240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ED3D6DC9-3973-4088-B017-E9EC5E00D462}"/>
                </a:ext>
              </a:extLst>
            </xdr14:cNvPr>
            <xdr14:cNvContentPartPr/>
          </xdr14:nvContentPartPr>
          <xdr14:nvPr macro=""/>
          <xdr14:xfrm>
            <a:off x="5973840" y="1364040"/>
            <a:ext cx="360" cy="3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F189A909-833C-33B6-8371-FAD4777FCD5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967720" y="1357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121800</xdr:colOff>
      <xdr:row>6</xdr:row>
      <xdr:rowOff>52920</xdr:rowOff>
    </xdr:from>
    <xdr:to>
      <xdr:col>4</xdr:col>
      <xdr:colOff>122160</xdr:colOff>
      <xdr:row>6</xdr:row>
      <xdr:rowOff>53280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C0821485-ABB8-4CFC-88B2-72BAAFA6AC15}"/>
                </a:ext>
              </a:extLst>
            </xdr14:cNvPr>
            <xdr14:cNvContentPartPr/>
          </xdr14:nvContentPartPr>
          <xdr14:nvPr macro=""/>
          <xdr14:xfrm>
            <a:off x="2986920" y="1333080"/>
            <a:ext cx="360" cy="36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808A1554-5BC4-D834-BBF9-7481963909A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980800" y="1326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121800</xdr:colOff>
      <xdr:row>6</xdr:row>
      <xdr:rowOff>52920</xdr:rowOff>
    </xdr:from>
    <xdr:to>
      <xdr:col>4</xdr:col>
      <xdr:colOff>122160</xdr:colOff>
      <xdr:row>6</xdr:row>
      <xdr:rowOff>53280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C025022E-CB28-4CA1-9217-4013E91FB442}"/>
                </a:ext>
              </a:extLst>
            </xdr14:cNvPr>
            <xdr14:cNvContentPartPr/>
          </xdr14:nvContentPartPr>
          <xdr14:nvPr macro=""/>
          <xdr14:xfrm>
            <a:off x="2986920" y="1333080"/>
            <a:ext cx="360" cy="36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80BAEBF2-40AE-6B25-8689-C864DD9C114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980800" y="1326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121800</xdr:colOff>
      <xdr:row>6</xdr:row>
      <xdr:rowOff>52920</xdr:rowOff>
    </xdr:from>
    <xdr:to>
      <xdr:col>4</xdr:col>
      <xdr:colOff>122160</xdr:colOff>
      <xdr:row>6</xdr:row>
      <xdr:rowOff>53280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A0B04835-602A-4A6E-BC77-8CAA59E7D4DC}"/>
                </a:ext>
              </a:extLst>
            </xdr14:cNvPr>
            <xdr14:cNvContentPartPr/>
          </xdr14:nvContentPartPr>
          <xdr14:nvPr macro=""/>
          <xdr14:xfrm>
            <a:off x="2986920" y="1333080"/>
            <a:ext cx="360" cy="36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5EF1283F-BBD4-E61B-E753-FEBC697513A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980800" y="1326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121800</xdr:colOff>
      <xdr:row>6</xdr:row>
      <xdr:rowOff>52920</xdr:rowOff>
    </xdr:from>
    <xdr:to>
      <xdr:col>4</xdr:col>
      <xdr:colOff>122160</xdr:colOff>
      <xdr:row>6</xdr:row>
      <xdr:rowOff>53280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20962315-0200-498D-8B09-83F0E731CAF0}"/>
                </a:ext>
              </a:extLst>
            </xdr14:cNvPr>
            <xdr14:cNvContentPartPr/>
          </xdr14:nvContentPartPr>
          <xdr14:nvPr macro=""/>
          <xdr14:xfrm>
            <a:off x="2986920" y="1333080"/>
            <a:ext cx="360" cy="36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316EFDA8-4412-3E9F-04E2-BB39C8F9147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980800" y="1326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121800</xdr:colOff>
      <xdr:row>6</xdr:row>
      <xdr:rowOff>52920</xdr:rowOff>
    </xdr:from>
    <xdr:to>
      <xdr:col>4</xdr:col>
      <xdr:colOff>122160</xdr:colOff>
      <xdr:row>6</xdr:row>
      <xdr:rowOff>53280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AB6D3DE1-2C5F-40F5-B585-A71384872B16}"/>
                </a:ext>
              </a:extLst>
            </xdr14:cNvPr>
            <xdr14:cNvContentPartPr/>
          </xdr14:nvContentPartPr>
          <xdr14:nvPr macro=""/>
          <xdr14:xfrm>
            <a:off x="2986920" y="1333080"/>
            <a:ext cx="360" cy="36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94BF5FA5-E77C-A6E2-D6B9-6A60C4C2969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980800" y="1326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121800</xdr:colOff>
      <xdr:row>6</xdr:row>
      <xdr:rowOff>52920</xdr:rowOff>
    </xdr:from>
    <xdr:to>
      <xdr:col>4</xdr:col>
      <xdr:colOff>122160</xdr:colOff>
      <xdr:row>6</xdr:row>
      <xdr:rowOff>53280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D0599FD1-A48C-4B79-8FB2-9DCB876CC2B8}"/>
                </a:ext>
              </a:extLst>
            </xdr14:cNvPr>
            <xdr14:cNvContentPartPr/>
          </xdr14:nvContentPartPr>
          <xdr14:nvPr macro=""/>
          <xdr14:xfrm>
            <a:off x="2986920" y="1333080"/>
            <a:ext cx="360" cy="36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211D418D-612A-1BF7-4953-E4A75127D39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980800" y="13269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274080</xdr:colOff>
      <xdr:row>5</xdr:row>
      <xdr:rowOff>121680</xdr:rowOff>
    </xdr:from>
    <xdr:to>
      <xdr:col>1</xdr:col>
      <xdr:colOff>274440</xdr:colOff>
      <xdr:row>5</xdr:row>
      <xdr:rowOff>122040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154C61D0-57E3-45E2-8F91-A9421163F43F}"/>
                </a:ext>
              </a:extLst>
            </xdr14:cNvPr>
            <xdr14:cNvContentPartPr/>
          </xdr14:nvContentPartPr>
          <xdr14:nvPr macro=""/>
          <xdr14:xfrm>
            <a:off x="1310400" y="1218960"/>
            <a:ext cx="360" cy="360"/>
          </xdr14:xfrm>
        </xdr:contentPart>
      </mc:Choice>
      <mc:Fallback xmlns=""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E7854914-8972-6E6C-CC8F-5E7BA89BCFC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04280" y="12128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243720</xdr:colOff>
      <xdr:row>2</xdr:row>
      <xdr:rowOff>174960</xdr:rowOff>
    </xdr:from>
    <xdr:to>
      <xdr:col>5</xdr:col>
      <xdr:colOff>244080</xdr:colOff>
      <xdr:row>2</xdr:row>
      <xdr:rowOff>175320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695CFDA6-C9F3-415E-86EF-B4A5FE6CEA2A}"/>
                </a:ext>
              </a:extLst>
            </xdr14:cNvPr>
            <xdr14:cNvContentPartPr/>
          </xdr14:nvContentPartPr>
          <xdr14:nvPr macro=""/>
          <xdr14:xfrm>
            <a:off x="3718440" y="723600"/>
            <a:ext cx="360" cy="36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132B422A-EE1D-2B41-EFD7-0DCC0A3D8C8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712320" y="7174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350400</xdr:colOff>
      <xdr:row>5</xdr:row>
      <xdr:rowOff>121680</xdr:rowOff>
    </xdr:from>
    <xdr:to>
      <xdr:col>1</xdr:col>
      <xdr:colOff>350760</xdr:colOff>
      <xdr:row>5</xdr:row>
      <xdr:rowOff>122040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DDC8C913-1605-45D6-BC63-E8AFE7A11A9C}"/>
                </a:ext>
              </a:extLst>
            </xdr14:cNvPr>
            <xdr14:cNvContentPartPr/>
          </xdr14:nvContentPartPr>
          <xdr14:nvPr macro=""/>
          <xdr14:xfrm>
            <a:off x="1386720" y="1218960"/>
            <a:ext cx="360" cy="36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3FBEFFA3-4922-EF9F-3BD5-EE3ACB4DD31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380600" y="12128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381000</xdr:colOff>
      <xdr:row>5</xdr:row>
      <xdr:rowOff>106560</xdr:rowOff>
    </xdr:from>
    <xdr:to>
      <xdr:col>1</xdr:col>
      <xdr:colOff>381360</xdr:colOff>
      <xdr:row>5</xdr:row>
      <xdr:rowOff>106920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41377483-D740-4C5F-B383-3B8CE00F00EA}"/>
                </a:ext>
              </a:extLst>
            </xdr14:cNvPr>
            <xdr14:cNvContentPartPr/>
          </xdr14:nvContentPartPr>
          <xdr14:nvPr macro=""/>
          <xdr14:xfrm>
            <a:off x="1417320" y="1203840"/>
            <a:ext cx="360" cy="36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C3873096-918A-E513-8DA8-046458606F6C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411200" y="11977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594240</xdr:colOff>
      <xdr:row>6</xdr:row>
      <xdr:rowOff>98640</xdr:rowOff>
    </xdr:from>
    <xdr:to>
      <xdr:col>6</xdr:col>
      <xdr:colOff>594600</xdr:colOff>
      <xdr:row>6</xdr:row>
      <xdr:rowOff>99000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C1ECF082-327A-4295-8693-976CF0BF6087}"/>
                </a:ext>
              </a:extLst>
            </xdr14:cNvPr>
            <xdr14:cNvContentPartPr/>
          </xdr14:nvContentPartPr>
          <xdr14:nvPr macro=""/>
          <xdr14:xfrm>
            <a:off x="4678560" y="1378800"/>
            <a:ext cx="360" cy="360"/>
          </xdr14:xfrm>
        </xdr:contentPart>
      </mc:Choice>
      <mc:Fallback xmlns=""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40BD03D7-4477-2E54-31E6-BEA2AFB0A76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672440" y="137268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8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8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24575,'-1'0'-8191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9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24575,'-1'0'-8191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24575,'-1'0'-8191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24575,'-1'0'-8191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9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24575,'-1'0'-8191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9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24575,'-1'0'-8191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9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9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24575,'-1'0'-8191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9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9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20T01:13:55.99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24575,'-1'0'-8191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B030B-850C-49C3-8EBC-D20968490347}">
  <sheetPr codeName="Sheet1"/>
  <dimension ref="A1:R36"/>
  <sheetViews>
    <sheetView tabSelected="1" zoomScale="74" workbookViewId="0">
      <selection activeCell="S22" sqref="S22"/>
    </sheetView>
  </sheetViews>
  <sheetFormatPr defaultRowHeight="14.4" x14ac:dyDescent="0.3"/>
  <cols>
    <col min="1" max="1" width="14" customWidth="1"/>
    <col min="15" max="15" width="12" bestFit="1" customWidth="1"/>
    <col min="16" max="16" width="12" customWidth="1"/>
    <col min="17" max="17" width="15.5546875" customWidth="1"/>
  </cols>
  <sheetData>
    <row r="1" spans="1:17" x14ac:dyDescent="0.3">
      <c r="A1" t="s">
        <v>0</v>
      </c>
      <c r="B1">
        <v>60</v>
      </c>
    </row>
    <row r="2" spans="1:17" x14ac:dyDescent="0.3">
      <c r="A2" t="s">
        <v>1</v>
      </c>
      <c r="B2">
        <v>50</v>
      </c>
    </row>
    <row r="3" spans="1:17" x14ac:dyDescent="0.3">
      <c r="A3" t="s">
        <v>2</v>
      </c>
      <c r="B3">
        <v>10</v>
      </c>
    </row>
    <row r="4" spans="1:17" x14ac:dyDescent="0.3">
      <c r="A4" t="s">
        <v>3</v>
      </c>
      <c r="B4">
        <v>0.2</v>
      </c>
    </row>
    <row r="5" spans="1:17" x14ac:dyDescent="0.3">
      <c r="A5" t="s">
        <v>4</v>
      </c>
      <c r="B5">
        <v>0.05</v>
      </c>
    </row>
    <row r="6" spans="1:17" x14ac:dyDescent="0.3">
      <c r="A6" t="s">
        <v>5</v>
      </c>
      <c r="B6">
        <v>100000</v>
      </c>
    </row>
    <row r="8" spans="1:17" x14ac:dyDescent="0.3">
      <c r="A8" t="s">
        <v>6</v>
      </c>
      <c r="B8">
        <f>(EXP(rate*dt)-d)/(u-d)</f>
        <v>0.57749319635612428</v>
      </c>
    </row>
    <row r="9" spans="1:17" x14ac:dyDescent="0.3">
      <c r="A9" t="s">
        <v>7</v>
      </c>
      <c r="B9">
        <f>1-p</f>
        <v>0.42250680364387572</v>
      </c>
    </row>
    <row r="10" spans="1:17" x14ac:dyDescent="0.3">
      <c r="A10" t="s">
        <v>8</v>
      </c>
      <c r="B10">
        <f>EXP(vol*SQRT(dt))</f>
        <v>1.2214027581601699</v>
      </c>
    </row>
    <row r="11" spans="1:17" x14ac:dyDescent="0.3">
      <c r="A11" t="s">
        <v>9</v>
      </c>
      <c r="B11">
        <f>1/u</f>
        <v>0.81873075307798182</v>
      </c>
    </row>
    <row r="12" spans="1:17" x14ac:dyDescent="0.3">
      <c r="N12" t="s">
        <v>11</v>
      </c>
      <c r="O12" t="s">
        <v>12</v>
      </c>
    </row>
    <row r="13" spans="1:17" x14ac:dyDescent="0.3">
      <c r="A13" t="s">
        <v>10</v>
      </c>
      <c r="B13">
        <f>T/10</f>
        <v>1</v>
      </c>
      <c r="L13">
        <f>K14*u</f>
        <v>369.45280494653247</v>
      </c>
      <c r="N13">
        <f>MAX(L13-S,0)</f>
        <v>319.45280494653247</v>
      </c>
      <c r="O13">
        <f>p^10</f>
        <v>4.1254252294919613E-3</v>
      </c>
      <c r="Q13">
        <f>N13*O13</f>
        <v>1.3178786611583995</v>
      </c>
    </row>
    <row r="14" spans="1:17" x14ac:dyDescent="0.3">
      <c r="K14">
        <f>J15*u</f>
        <v>302.48237322064728</v>
      </c>
      <c r="O14" t="s">
        <v>15</v>
      </c>
    </row>
    <row r="15" spans="1:17" x14ac:dyDescent="0.3">
      <c r="J15">
        <f>I16*u</f>
        <v>247.6516212197557</v>
      </c>
      <c r="L15">
        <f>K14*d</f>
        <v>247.6516212197557</v>
      </c>
      <c r="N15">
        <f>MAX(L15-S,0)</f>
        <v>197.6516212197557</v>
      </c>
      <c r="O15">
        <f>COMBIN(10,1) * p^9 * q</f>
        <v>3.0182524025955417E-2</v>
      </c>
      <c r="Q15">
        <f>N15*O15</f>
        <v>5.9656248062343158</v>
      </c>
    </row>
    <row r="16" spans="1:17" x14ac:dyDescent="0.3">
      <c r="I16">
        <f>H17*u</f>
        <v>202.7599983422337</v>
      </c>
      <c r="K16">
        <f>J17*u</f>
        <v>202.7599983422337</v>
      </c>
    </row>
    <row r="17" spans="2:17" x14ac:dyDescent="0.3">
      <c r="H17">
        <f>G18*u</f>
        <v>166.00584613682736</v>
      </c>
      <c r="J17">
        <f>I18*u</f>
        <v>166.00584613682736</v>
      </c>
      <c r="L17">
        <f>K18*u</f>
        <v>166.00584613682736</v>
      </c>
      <c r="N17">
        <f>MAX(L17-S,0)</f>
        <v>116.00584613682736</v>
      </c>
      <c r="O17">
        <f>COMBIN(10,2) * p^8 * q^2</f>
        <v>9.9369911622493035E-2</v>
      </c>
      <c r="Q17">
        <f>N17*O17</f>
        <v>11.527490678309059</v>
      </c>
    </row>
    <row r="18" spans="2:17" x14ac:dyDescent="0.3">
      <c r="G18">
        <f>F19*u</f>
        <v>135.91409142295225</v>
      </c>
      <c r="I18">
        <f>H19*u</f>
        <v>135.91409142295225</v>
      </c>
      <c r="K18">
        <f>J19*u</f>
        <v>135.91409142295225</v>
      </c>
    </row>
    <row r="19" spans="2:17" x14ac:dyDescent="0.3">
      <c r="F19">
        <f>E20*u</f>
        <v>111.27704642462338</v>
      </c>
      <c r="H19">
        <f>G20*u</f>
        <v>111.27704642462338</v>
      </c>
      <c r="J19">
        <f>I20*u</f>
        <v>111.27704642462338</v>
      </c>
      <c r="L19">
        <f>K20*u</f>
        <v>111.27704642462338</v>
      </c>
      <c r="N19">
        <f>MAX(L19-S,0)</f>
        <v>61.277046424623379</v>
      </c>
      <c r="O19">
        <f>COMBIN(10,3) * p^7 * q^3</f>
        <v>0.19386993764501786</v>
      </c>
      <c r="Q19">
        <f>N19*O19</f>
        <v>11.879777169412598</v>
      </c>
    </row>
    <row r="20" spans="2:17" x14ac:dyDescent="0.3">
      <c r="E20">
        <f>D21*u</f>
        <v>91.105940019525448</v>
      </c>
      <c r="G20">
        <f>F21*u</f>
        <v>91.105940019525448</v>
      </c>
      <c r="I20">
        <f>H21*u</f>
        <v>91.105940019525448</v>
      </c>
      <c r="K20">
        <f>J21*u</f>
        <v>91.105940019525448</v>
      </c>
    </row>
    <row r="21" spans="2:17" x14ac:dyDescent="0.3">
      <c r="D21">
        <f>C22*u</f>
        <v>74.591234882063517</v>
      </c>
      <c r="F21">
        <f>E22*u</f>
        <v>74.591234882063517</v>
      </c>
      <c r="H21">
        <f>G22*u</f>
        <v>74.591234882063517</v>
      </c>
      <c r="J21">
        <f>I22*u</f>
        <v>74.591234882063517</v>
      </c>
      <c r="L21">
        <f>K22*u</f>
        <v>74.591234882063517</v>
      </c>
      <c r="N21">
        <f>MAX(L21-S,0)</f>
        <v>24.591234882063517</v>
      </c>
      <c r="O21">
        <f>COMBIN(10,4) * p^6 * q^4</f>
        <v>0.24821919000827947</v>
      </c>
      <c r="Q21">
        <f>N21*O21</f>
        <v>6.1040164037291538</v>
      </c>
    </row>
    <row r="22" spans="2:17" x14ac:dyDescent="0.3">
      <c r="C22">
        <f>S*u</f>
        <v>61.070137908008491</v>
      </c>
      <c r="E22">
        <f>D23*u</f>
        <v>61.070137908008491</v>
      </c>
      <c r="G22">
        <f>F23*u</f>
        <v>61.070137908008491</v>
      </c>
      <c r="I22">
        <f>H23*u</f>
        <v>61.070137908008491</v>
      </c>
      <c r="K22">
        <f>J23*u</f>
        <v>61.070137908008491</v>
      </c>
    </row>
    <row r="23" spans="2:17" x14ac:dyDescent="0.3">
      <c r="B23">
        <f>S</f>
        <v>50</v>
      </c>
      <c r="D23">
        <f>C24*u</f>
        <v>50</v>
      </c>
      <c r="F23">
        <f>E24*u</f>
        <v>50</v>
      </c>
      <c r="H23">
        <f>G24*u</f>
        <v>50</v>
      </c>
      <c r="J23">
        <f>I24*u</f>
        <v>50</v>
      </c>
      <c r="L23">
        <f>K24*u</f>
        <v>50</v>
      </c>
      <c r="N23">
        <f>MAX(L23-S,0)</f>
        <v>0</v>
      </c>
      <c r="O23">
        <f>COMBIN(10,5) * q^5 * p^5</f>
        <v>0.21792318365350283</v>
      </c>
      <c r="Q23">
        <f>N23*O23</f>
        <v>0</v>
      </c>
    </row>
    <row r="24" spans="2:17" x14ac:dyDescent="0.3">
      <c r="C24">
        <f>S*d</f>
        <v>40.936537653899094</v>
      </c>
      <c r="E24">
        <f>D25*u</f>
        <v>40.936537653899094</v>
      </c>
      <c r="G24">
        <f>F25*u</f>
        <v>40.936537653899094</v>
      </c>
      <c r="I24">
        <f>H25*u</f>
        <v>40.936537653899094</v>
      </c>
      <c r="K24">
        <f>J25*u</f>
        <v>40.936537653899094</v>
      </c>
    </row>
    <row r="25" spans="2:17" x14ac:dyDescent="0.3">
      <c r="D25">
        <f>C24*d</f>
        <v>33.516002301781967</v>
      </c>
      <c r="F25">
        <f>E26*u</f>
        <v>33.516002301781967</v>
      </c>
      <c r="H25">
        <f>G26*u</f>
        <v>33.516002301781967</v>
      </c>
      <c r="J25">
        <f>I26*u</f>
        <v>33.516002301781967</v>
      </c>
      <c r="L25">
        <f>K26*u</f>
        <v>33.516002301781967</v>
      </c>
      <c r="N25">
        <f>MAX(L25-S,0)</f>
        <v>0</v>
      </c>
      <c r="O25">
        <f>COMBIN(10,6) * p^4 * q^6</f>
        <v>0.132864520232026</v>
      </c>
      <c r="Q25">
        <f>N25*O25</f>
        <v>0</v>
      </c>
    </row>
    <row r="26" spans="2:17" x14ac:dyDescent="0.3">
      <c r="E26">
        <f>D25*d</f>
        <v>27.440581804701321</v>
      </c>
      <c r="G26">
        <f>F27*u</f>
        <v>27.440581804701321</v>
      </c>
      <c r="I26">
        <f>H27*u</f>
        <v>27.440581804701321</v>
      </c>
      <c r="K26">
        <f>J27*u</f>
        <v>27.440581804701321</v>
      </c>
    </row>
    <row r="27" spans="2:17" x14ac:dyDescent="0.3">
      <c r="F27">
        <f>E26*d</f>
        <v>22.466448205861077</v>
      </c>
      <c r="H27">
        <f>G28*u</f>
        <v>22.466448205861077</v>
      </c>
      <c r="J27">
        <f>I28*u</f>
        <v>22.466448205861077</v>
      </c>
      <c r="L27">
        <f>K28*u</f>
        <v>22.466448205861077</v>
      </c>
      <c r="N27">
        <f>MAX(L27-S,0)</f>
        <v>0</v>
      </c>
      <c r="O27">
        <f>COMBIN(10,7) * p^3 * q^7</f>
        <v>5.5546642048395413E-2</v>
      </c>
      <c r="Q27">
        <f>N27*O27</f>
        <v>0</v>
      </c>
    </row>
    <row r="28" spans="2:17" x14ac:dyDescent="0.3">
      <c r="G28">
        <f>F27*d</f>
        <v>18.393972058572114</v>
      </c>
      <c r="I28">
        <f>H29*u</f>
        <v>18.393972058572114</v>
      </c>
      <c r="K28">
        <f>J29*u</f>
        <v>18.393972058572114</v>
      </c>
    </row>
    <row r="29" spans="2:17" x14ac:dyDescent="0.3">
      <c r="H29">
        <f>G28*d</f>
        <v>15.059710595610103</v>
      </c>
      <c r="J29">
        <f>I30*u</f>
        <v>15.059710595610103</v>
      </c>
      <c r="L29">
        <f>K30*u</f>
        <v>15.059710595610103</v>
      </c>
      <c r="N29">
        <f>MAX(L29-S,0)</f>
        <v>0</v>
      </c>
      <c r="O29">
        <f>COMBIN(10,8) * p^2 * q^8</f>
        <v>1.523968225931193E-2</v>
      </c>
      <c r="Q29">
        <f>N29*O29</f>
        <v>0</v>
      </c>
    </row>
    <row r="30" spans="2:17" x14ac:dyDescent="0.3">
      <c r="I30">
        <f>H29*d</f>
        <v>12.329848197080322</v>
      </c>
      <c r="K30">
        <f>J31*u</f>
        <v>12.329848197080322</v>
      </c>
    </row>
    <row r="31" spans="2:17" x14ac:dyDescent="0.3">
      <c r="J31">
        <f>I30*d</f>
        <v>10.094825899732768</v>
      </c>
      <c r="L31">
        <f>K32*u</f>
        <v>10.094825899732768</v>
      </c>
      <c r="N31">
        <f>MAX(L31-S,0)</f>
        <v>0</v>
      </c>
      <c r="O31">
        <f>COMBIN(10,9) * p * q^9</f>
        <v>2.4777086285492165E-3</v>
      </c>
      <c r="Q31">
        <f>N31*O31</f>
        <v>0</v>
      </c>
    </row>
    <row r="32" spans="2:17" x14ac:dyDescent="0.3">
      <c r="K32">
        <f>J31*d</f>
        <v>8.2649444110793251</v>
      </c>
    </row>
    <row r="33" spans="12:18" x14ac:dyDescent="0.3">
      <c r="L33">
        <f>K32*d</f>
        <v>6.7667641618306327</v>
      </c>
      <c r="N33">
        <f>MAX(L33-S,0)</f>
        <v>0</v>
      </c>
      <c r="O33">
        <f>q^10</f>
        <v>1.8127464697672687E-4</v>
      </c>
      <c r="Q33">
        <f>N33*O33</f>
        <v>0</v>
      </c>
    </row>
    <row r="35" spans="12:18" x14ac:dyDescent="0.3">
      <c r="O35">
        <f>SUM(O13:O33)</f>
        <v>0.99999999999999989</v>
      </c>
      <c r="Q35" s="1" t="s">
        <v>14</v>
      </c>
      <c r="R35">
        <f>SUM(Q13:Q33) * Principle</f>
        <v>3679478.7718843524</v>
      </c>
    </row>
    <row r="36" spans="12:18" x14ac:dyDescent="0.3">
      <c r="Q36" s="1" t="s">
        <v>13</v>
      </c>
      <c r="R36">
        <f xml:space="preserve"> 1/(1+ rate) * R35</f>
        <v>3504265.4970327164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11</vt:i4>
      </vt:variant>
    </vt:vector>
  </HeadingPairs>
  <TitlesOfParts>
    <vt:vector size="12" baseType="lpstr">
      <vt:lpstr>Sheet1</vt:lpstr>
      <vt:lpstr>d</vt:lpstr>
      <vt:lpstr>dt</vt:lpstr>
      <vt:lpstr>K</vt:lpstr>
      <vt:lpstr>p</vt:lpstr>
      <vt:lpstr>Principle</vt:lpstr>
      <vt:lpstr>q</vt:lpstr>
      <vt:lpstr>rate</vt:lpstr>
      <vt:lpstr>S</vt:lpstr>
      <vt:lpstr>T</vt:lpstr>
      <vt:lpstr>u</vt:lpstr>
      <vt:lpstr>vol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O'Kane</dc:creator>
  <cp:lastModifiedBy>James O'Kane</cp:lastModifiedBy>
  <dcterms:created xsi:type="dcterms:W3CDTF">2026-01-20T01:12:57Z</dcterms:created>
  <dcterms:modified xsi:type="dcterms:W3CDTF">2026-02-02T16:58:01Z</dcterms:modified>
</cp:coreProperties>
</file>