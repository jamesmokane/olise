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mes\Working\olise\olise\"/>
    </mc:Choice>
  </mc:AlternateContent>
  <xr:revisionPtr revIDLastSave="0" documentId="13_ncr:1_{2CCB0144-8BEB-4862-B057-87A90AACA3DC}" xr6:coauthVersionLast="47" xr6:coauthVersionMax="47" xr10:uidLastSave="{00000000-0000-0000-0000-000000000000}"/>
  <bookViews>
    <workbookView xWindow="-108" yWindow="-108" windowWidth="23256" windowHeight="12456" xr2:uid="{2A1A9440-079E-48B2-A0D4-827C7691A225}"/>
  </bookViews>
  <sheets>
    <sheet name="Sheet1" sheetId="1" r:id="rId1"/>
    <sheet name="Sheet2" sheetId="2" r:id="rId2"/>
  </sheets>
  <functionGroups builtInGroupCount="19">
    <functionGroup name="xlwings"/>
  </functionGroups>
  <definedNames>
    <definedName name="d">Sheet1!$B$11</definedName>
    <definedName name="dt">Sheet1!$B$13</definedName>
    <definedName name="K">Sheet1!$B$1</definedName>
    <definedName name="p">Sheet1!$B$8</definedName>
    <definedName name="Principal">Sheet1!$B$6</definedName>
    <definedName name="q">Sheet1!$B$9</definedName>
    <definedName name="rate">Sheet1!$B$5</definedName>
    <definedName name="S">Sheet1!$B$2</definedName>
    <definedName name="T">Sheet1!$B$3</definedName>
    <definedName name="u">Sheet1!$B$10</definedName>
    <definedName name="vol">Sheet1!$B$4</definedName>
  </definedNames>
  <calcPr calcId="191029"/>
  <extLst>
    <ext xmlns:x14="http://schemas.microsoft.com/office/spreadsheetml/2009/9/main" uri="{8193D73E-4604-4355-AFF4-8A2333D13BE4}">
      <x14:definedNames>
        <x14:definedName name="BinomialErro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inomialTre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inomialTre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inomialTreeCal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inomialTreePut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lackScholesCal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nc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QH11" i="2"/>
  <c r="QI11" i="2" s="1"/>
  <c r="QJ11" i="2" s="1"/>
  <c r="KA11" i="2"/>
  <c r="KB11" i="2" s="1"/>
  <c r="KC11" i="2" s="1"/>
  <c r="KD11" i="2" s="1"/>
  <c r="KE11" i="2" s="1"/>
  <c r="KF11" i="2" s="1"/>
  <c r="KG11" i="2" s="1"/>
  <c r="KH11" i="2" s="1"/>
  <c r="KI11" i="2" s="1"/>
  <c r="KJ11" i="2" s="1"/>
  <c r="KK11" i="2" s="1"/>
  <c r="KL11" i="2" s="1"/>
  <c r="KM11" i="2" s="1"/>
  <c r="KN11" i="2" s="1"/>
  <c r="KO11" i="2" s="1"/>
  <c r="KP11" i="2" s="1"/>
  <c r="KQ11" i="2" s="1"/>
  <c r="KR11" i="2" s="1"/>
  <c r="KS11" i="2" s="1"/>
  <c r="KT11" i="2" s="1"/>
  <c r="KU11" i="2" s="1"/>
  <c r="KV11" i="2" s="1"/>
  <c r="KW11" i="2" s="1"/>
  <c r="KX11" i="2" s="1"/>
  <c r="KY11" i="2" s="1"/>
  <c r="KZ11" i="2" s="1"/>
  <c r="LA11" i="2" s="1"/>
  <c r="LB11" i="2" s="1"/>
  <c r="LC11" i="2" s="1"/>
  <c r="LD11" i="2" s="1"/>
  <c r="LE11" i="2" s="1"/>
  <c r="LF11" i="2" s="1"/>
  <c r="LG11" i="2" s="1"/>
  <c r="LH11" i="2" s="1"/>
  <c r="LI11" i="2" s="1"/>
  <c r="LJ11" i="2" s="1"/>
  <c r="LK11" i="2" s="1"/>
  <c r="LL11" i="2" s="1"/>
  <c r="LM11" i="2" s="1"/>
  <c r="LN11" i="2" s="1"/>
  <c r="LO11" i="2" s="1"/>
  <c r="LP11" i="2" s="1"/>
  <c r="LQ11" i="2" s="1"/>
  <c r="LR11" i="2" s="1"/>
  <c r="LS11" i="2" s="1"/>
  <c r="LT11" i="2" s="1"/>
  <c r="LU11" i="2" s="1"/>
  <c r="LV11" i="2" s="1"/>
  <c r="LW11" i="2" s="1"/>
  <c r="LX11" i="2" s="1"/>
  <c r="LY11" i="2" s="1"/>
  <c r="LZ11" i="2" s="1"/>
  <c r="MA11" i="2" s="1"/>
  <c r="MB11" i="2" s="1"/>
  <c r="MC11" i="2" s="1"/>
  <c r="MD11" i="2" s="1"/>
  <c r="ME11" i="2" s="1"/>
  <c r="MF11" i="2" s="1"/>
  <c r="MG11" i="2" s="1"/>
  <c r="MH11" i="2" s="1"/>
  <c r="MI11" i="2" s="1"/>
  <c r="MJ11" i="2" s="1"/>
  <c r="MK11" i="2" s="1"/>
  <c r="ML11" i="2" s="1"/>
  <c r="MM11" i="2" s="1"/>
  <c r="MN11" i="2" s="1"/>
  <c r="MO11" i="2" s="1"/>
  <c r="MP11" i="2" s="1"/>
  <c r="MQ11" i="2" s="1"/>
  <c r="MR11" i="2" s="1"/>
  <c r="MS11" i="2" s="1"/>
  <c r="MT11" i="2" s="1"/>
  <c r="MU11" i="2" s="1"/>
  <c r="MV11" i="2" s="1"/>
  <c r="MW11" i="2" s="1"/>
  <c r="MX11" i="2" s="1"/>
  <c r="MY11" i="2" s="1"/>
  <c r="MZ11" i="2" s="1"/>
  <c r="NA11" i="2" s="1"/>
  <c r="NB11" i="2" s="1"/>
  <c r="NC11" i="2" s="1"/>
  <c r="ND11" i="2" s="1"/>
  <c r="NE11" i="2" s="1"/>
  <c r="NF11" i="2" s="1"/>
  <c r="NG11" i="2" s="1"/>
  <c r="NH11" i="2" s="1"/>
  <c r="NI11" i="2" s="1"/>
  <c r="NJ11" i="2" s="1"/>
  <c r="NK11" i="2" s="1"/>
  <c r="NL11" i="2" s="1"/>
  <c r="NM11" i="2" s="1"/>
  <c r="NN11" i="2" s="1"/>
  <c r="NO11" i="2" s="1"/>
  <c r="NP11" i="2" s="1"/>
  <c r="NQ11" i="2" s="1"/>
  <c r="NR11" i="2" s="1"/>
  <c r="NS11" i="2" s="1"/>
  <c r="NT11" i="2" s="1"/>
  <c r="NU11" i="2" s="1"/>
  <c r="NV11" i="2" s="1"/>
  <c r="NW11" i="2" s="1"/>
  <c r="NX11" i="2" s="1"/>
  <c r="NY11" i="2" s="1"/>
  <c r="NZ11" i="2" s="1"/>
  <c r="OA11" i="2" s="1"/>
  <c r="OB11" i="2" s="1"/>
  <c r="OC11" i="2" s="1"/>
  <c r="OD11" i="2" s="1"/>
  <c r="OE11" i="2" s="1"/>
  <c r="OF11" i="2" s="1"/>
  <c r="OG11" i="2" s="1"/>
  <c r="OH11" i="2" s="1"/>
  <c r="OI11" i="2" s="1"/>
  <c r="OJ11" i="2" s="1"/>
  <c r="OK11" i="2" s="1"/>
  <c r="OL11" i="2" s="1"/>
  <c r="OM11" i="2" s="1"/>
  <c r="ON11" i="2" s="1"/>
  <c r="OO11" i="2" s="1"/>
  <c r="OP11" i="2" s="1"/>
  <c r="OQ11" i="2" s="1"/>
  <c r="OR11" i="2" s="1"/>
  <c r="OS11" i="2" s="1"/>
  <c r="OT11" i="2" s="1"/>
  <c r="OU11" i="2" s="1"/>
  <c r="OV11" i="2" s="1"/>
  <c r="OW11" i="2" s="1"/>
  <c r="OX11" i="2" s="1"/>
  <c r="OY11" i="2" s="1"/>
  <c r="OZ11" i="2" s="1"/>
  <c r="PA11" i="2" s="1"/>
  <c r="PB11" i="2" s="1"/>
  <c r="PC11" i="2" s="1"/>
  <c r="PD11" i="2" s="1"/>
  <c r="PE11" i="2" s="1"/>
  <c r="PF11" i="2" s="1"/>
  <c r="PG11" i="2" s="1"/>
  <c r="PH11" i="2" s="1"/>
  <c r="PI11" i="2" s="1"/>
  <c r="PJ11" i="2" s="1"/>
  <c r="PK11" i="2" s="1"/>
  <c r="PL11" i="2" s="1"/>
  <c r="PM11" i="2" s="1"/>
  <c r="PN11" i="2" s="1"/>
  <c r="PO11" i="2" s="1"/>
  <c r="PP11" i="2" s="1"/>
  <c r="PQ11" i="2" s="1"/>
  <c r="PR11" i="2" s="1"/>
  <c r="PS11" i="2" s="1"/>
  <c r="PT11" i="2" s="1"/>
  <c r="PU11" i="2" s="1"/>
  <c r="PV11" i="2" s="1"/>
  <c r="PW11" i="2" s="1"/>
  <c r="PX11" i="2" s="1"/>
  <c r="PY11" i="2" s="1"/>
  <c r="PZ11" i="2" s="1"/>
  <c r="QA11" i="2" s="1"/>
  <c r="QB11" i="2" s="1"/>
  <c r="QC11" i="2" s="1"/>
  <c r="QD11" i="2" s="1"/>
  <c r="QE11" i="2" s="1"/>
  <c r="QF11" i="2" s="1"/>
  <c r="QG11" i="2" s="1"/>
  <c r="EO11" i="2"/>
  <c r="EP11" i="2" s="1"/>
  <c r="EQ11" i="2" s="1"/>
  <c r="ER11" i="2" s="1"/>
  <c r="ES11" i="2" s="1"/>
  <c r="ET11" i="2" s="1"/>
  <c r="EU11" i="2" s="1"/>
  <c r="EV11" i="2" s="1"/>
  <c r="EW11" i="2" s="1"/>
  <c r="EX11" i="2" s="1"/>
  <c r="EY11" i="2" s="1"/>
  <c r="EZ11" i="2" s="1"/>
  <c r="FA11" i="2" s="1"/>
  <c r="FB11" i="2" s="1"/>
  <c r="FC11" i="2" s="1"/>
  <c r="FD11" i="2" s="1"/>
  <c r="FE11" i="2" s="1"/>
  <c r="FF11" i="2" s="1"/>
  <c r="FG11" i="2" s="1"/>
  <c r="FH11" i="2" s="1"/>
  <c r="FI11" i="2" s="1"/>
  <c r="FJ11" i="2" s="1"/>
  <c r="FK11" i="2" s="1"/>
  <c r="FL11" i="2" s="1"/>
  <c r="FM11" i="2" s="1"/>
  <c r="FN11" i="2" s="1"/>
  <c r="FO11" i="2" s="1"/>
  <c r="FP11" i="2" s="1"/>
  <c r="FQ11" i="2" s="1"/>
  <c r="FR11" i="2" s="1"/>
  <c r="FS11" i="2" s="1"/>
  <c r="FT11" i="2" s="1"/>
  <c r="FU11" i="2" s="1"/>
  <c r="FV11" i="2" s="1"/>
  <c r="FW11" i="2" s="1"/>
  <c r="FX11" i="2" s="1"/>
  <c r="FY11" i="2" s="1"/>
  <c r="FZ11" i="2" s="1"/>
  <c r="GA11" i="2" s="1"/>
  <c r="GB11" i="2" s="1"/>
  <c r="GC11" i="2" s="1"/>
  <c r="GD11" i="2" s="1"/>
  <c r="GE11" i="2" s="1"/>
  <c r="GF11" i="2" s="1"/>
  <c r="GG11" i="2" s="1"/>
  <c r="GH11" i="2" s="1"/>
  <c r="GI11" i="2" s="1"/>
  <c r="GJ11" i="2" s="1"/>
  <c r="GK11" i="2" s="1"/>
  <c r="GL11" i="2" s="1"/>
  <c r="GM11" i="2" s="1"/>
  <c r="GN11" i="2" s="1"/>
  <c r="GO11" i="2" s="1"/>
  <c r="GP11" i="2" s="1"/>
  <c r="GQ11" i="2" s="1"/>
  <c r="GR11" i="2" s="1"/>
  <c r="GS11" i="2" s="1"/>
  <c r="GT11" i="2" s="1"/>
  <c r="GU11" i="2" s="1"/>
  <c r="GV11" i="2" s="1"/>
  <c r="GW11" i="2" s="1"/>
  <c r="GX11" i="2" s="1"/>
  <c r="GY11" i="2" s="1"/>
  <c r="GZ11" i="2" s="1"/>
  <c r="HA11" i="2" s="1"/>
  <c r="HB11" i="2" s="1"/>
  <c r="HC11" i="2" s="1"/>
  <c r="HD11" i="2" s="1"/>
  <c r="HE11" i="2" s="1"/>
  <c r="HF11" i="2" s="1"/>
  <c r="HG11" i="2" s="1"/>
  <c r="HH11" i="2" s="1"/>
  <c r="HI11" i="2" s="1"/>
  <c r="HJ11" i="2" s="1"/>
  <c r="HK11" i="2" s="1"/>
  <c r="HL11" i="2" s="1"/>
  <c r="HM11" i="2" s="1"/>
  <c r="HN11" i="2" s="1"/>
  <c r="HO11" i="2" s="1"/>
  <c r="HP11" i="2" s="1"/>
  <c r="HQ11" i="2" s="1"/>
  <c r="HR11" i="2" s="1"/>
  <c r="HS11" i="2" s="1"/>
  <c r="HT11" i="2" s="1"/>
  <c r="HU11" i="2" s="1"/>
  <c r="HV11" i="2" s="1"/>
  <c r="HW11" i="2" s="1"/>
  <c r="HX11" i="2" s="1"/>
  <c r="HY11" i="2" s="1"/>
  <c r="HZ11" i="2" s="1"/>
  <c r="IA11" i="2" s="1"/>
  <c r="IB11" i="2" s="1"/>
  <c r="IC11" i="2" s="1"/>
  <c r="ID11" i="2" s="1"/>
  <c r="IE11" i="2" s="1"/>
  <c r="IF11" i="2" s="1"/>
  <c r="IG11" i="2" s="1"/>
  <c r="IH11" i="2" s="1"/>
  <c r="II11" i="2" s="1"/>
  <c r="IJ11" i="2" s="1"/>
  <c r="IK11" i="2" s="1"/>
  <c r="IL11" i="2" s="1"/>
  <c r="IM11" i="2" s="1"/>
  <c r="IN11" i="2" s="1"/>
  <c r="IO11" i="2" s="1"/>
  <c r="IP11" i="2" s="1"/>
  <c r="IQ11" i="2" s="1"/>
  <c r="IR11" i="2" s="1"/>
  <c r="IS11" i="2" s="1"/>
  <c r="IT11" i="2" s="1"/>
  <c r="IU11" i="2" s="1"/>
  <c r="IV11" i="2" s="1"/>
  <c r="IW11" i="2" s="1"/>
  <c r="IX11" i="2" s="1"/>
  <c r="IY11" i="2" s="1"/>
  <c r="IZ11" i="2" s="1"/>
  <c r="JA11" i="2" s="1"/>
  <c r="JB11" i="2" s="1"/>
  <c r="JC11" i="2" s="1"/>
  <c r="JD11" i="2" s="1"/>
  <c r="JE11" i="2" s="1"/>
  <c r="JF11" i="2" s="1"/>
  <c r="JG11" i="2" s="1"/>
  <c r="JH11" i="2" s="1"/>
  <c r="JI11" i="2" s="1"/>
  <c r="JJ11" i="2" s="1"/>
  <c r="JK11" i="2" s="1"/>
  <c r="JL11" i="2" s="1"/>
  <c r="JM11" i="2" s="1"/>
  <c r="JN11" i="2" s="1"/>
  <c r="JO11" i="2" s="1"/>
  <c r="JP11" i="2" s="1"/>
  <c r="JQ11" i="2" s="1"/>
  <c r="JR11" i="2" s="1"/>
  <c r="JS11" i="2" s="1"/>
  <c r="JT11" i="2" s="1"/>
  <c r="JU11" i="2" s="1"/>
  <c r="JV11" i="2" s="1"/>
  <c r="JW11" i="2" s="1"/>
  <c r="JX11" i="2" s="1"/>
  <c r="JY11" i="2" s="1"/>
  <c r="JZ11" i="2" s="1"/>
  <c r="BV11" i="2"/>
  <c r="BW11" i="2" s="1"/>
  <c r="BX11" i="2" s="1"/>
  <c r="BY11" i="2" s="1"/>
  <c r="BZ11" i="2" s="1"/>
  <c r="CA11" i="2" s="1"/>
  <c r="CB11" i="2" s="1"/>
  <c r="CC11" i="2" s="1"/>
  <c r="CD11" i="2" s="1"/>
  <c r="CE11" i="2" s="1"/>
  <c r="CF11" i="2" s="1"/>
  <c r="CG11" i="2" s="1"/>
  <c r="CH11" i="2" s="1"/>
  <c r="CI11" i="2" s="1"/>
  <c r="CJ11" i="2" s="1"/>
  <c r="CK11" i="2" s="1"/>
  <c r="CL11" i="2" s="1"/>
  <c r="CM11" i="2" s="1"/>
  <c r="CN11" i="2" s="1"/>
  <c r="CO11" i="2" s="1"/>
  <c r="CP11" i="2" s="1"/>
  <c r="CQ11" i="2" s="1"/>
  <c r="CR11" i="2" s="1"/>
  <c r="CS11" i="2" s="1"/>
  <c r="CT11" i="2" s="1"/>
  <c r="CU11" i="2" s="1"/>
  <c r="CV11" i="2" s="1"/>
  <c r="CW11" i="2" s="1"/>
  <c r="CX11" i="2" s="1"/>
  <c r="CY11" i="2" s="1"/>
  <c r="CZ11" i="2" s="1"/>
  <c r="DA11" i="2" s="1"/>
  <c r="DB11" i="2" s="1"/>
  <c r="DC11" i="2" s="1"/>
  <c r="DD11" i="2" s="1"/>
  <c r="DE11" i="2" s="1"/>
  <c r="DF11" i="2" s="1"/>
  <c r="DG11" i="2" s="1"/>
  <c r="DH11" i="2" s="1"/>
  <c r="DI11" i="2" s="1"/>
  <c r="DJ11" i="2" s="1"/>
  <c r="DK11" i="2" s="1"/>
  <c r="DL11" i="2" s="1"/>
  <c r="DM11" i="2" s="1"/>
  <c r="DN11" i="2" s="1"/>
  <c r="DO11" i="2" s="1"/>
  <c r="DP11" i="2" s="1"/>
  <c r="DQ11" i="2" s="1"/>
  <c r="DR11" i="2" s="1"/>
  <c r="DS11" i="2" s="1"/>
  <c r="DT11" i="2" s="1"/>
  <c r="DU11" i="2" s="1"/>
  <c r="DV11" i="2" s="1"/>
  <c r="DW11" i="2" s="1"/>
  <c r="DX11" i="2" s="1"/>
  <c r="DY11" i="2" s="1"/>
  <c r="DZ11" i="2" s="1"/>
  <c r="EA11" i="2" s="1"/>
  <c r="EB11" i="2" s="1"/>
  <c r="EC11" i="2" s="1"/>
  <c r="ED11" i="2" s="1"/>
  <c r="EE11" i="2" s="1"/>
  <c r="EF11" i="2" s="1"/>
  <c r="EG11" i="2" s="1"/>
  <c r="EH11" i="2" s="1"/>
  <c r="EI11" i="2" s="1"/>
  <c r="EJ11" i="2" s="1"/>
  <c r="EK11" i="2" s="1"/>
  <c r="EL11" i="2" s="1"/>
  <c r="EM11" i="2" s="1"/>
  <c r="EN11" i="2" s="1"/>
  <c r="BK11" i="2"/>
  <c r="BL11" i="2" s="1"/>
  <c r="BM11" i="2" s="1"/>
  <c r="BN11" i="2" s="1"/>
  <c r="BO11" i="2" s="1"/>
  <c r="BP11" i="2" s="1"/>
  <c r="BQ11" i="2" s="1"/>
  <c r="BR11" i="2" s="1"/>
  <c r="BS11" i="2" s="1"/>
  <c r="BT11" i="2" s="1"/>
  <c r="BU11" i="2" s="1"/>
  <c r="BD11" i="2"/>
  <c r="BE11" i="2" s="1"/>
  <c r="BF11" i="2" s="1"/>
  <c r="BG11" i="2" s="1"/>
  <c r="BH11" i="2" s="1"/>
  <c r="BI11" i="2" s="1"/>
  <c r="BJ11" i="2" s="1"/>
  <c r="BC11" i="2"/>
  <c r="PK12" i="2" a="1"/>
  <c r="KM12" i="2" a="1"/>
  <c r="LY12" i="2" a="1"/>
  <c r="KF12" i="2" a="1"/>
  <c r="KV12" i="2" a="1"/>
  <c r="PB12" i="2" a="1"/>
  <c r="PG12" i="2" a="1"/>
  <c r="OP12" i="2" a="1"/>
  <c r="NS12" i="2" a="1"/>
  <c r="ND12" i="2" a="1"/>
  <c r="NY12" i="2" a="1"/>
  <c r="FQ12" i="2" a="1"/>
  <c r="HC12" i="2" a="1"/>
  <c r="GK12" i="2" a="1"/>
  <c r="HT12" i="2" a="1"/>
  <c r="JE12" i="2" a="1"/>
  <c r="FN12" i="2" a="1"/>
  <c r="HY12" i="2" a="1"/>
  <c r="GP12" i="2" a="1"/>
  <c r="EB12" i="2" a="1"/>
  <c r="BW12" i="2" a="1"/>
  <c r="DQ12" i="2" a="1"/>
  <c r="DM12" i="2" a="1"/>
  <c r="EE12" i="2" a="1"/>
  <c r="BL12" i="2" a="1"/>
  <c r="PY12" i="2" a="1"/>
  <c r="NV12" i="2" a="1"/>
  <c r="MK12" i="2" a="1"/>
  <c r="KG12" i="2" a="1"/>
  <c r="GE12" i="2" a="1"/>
  <c r="FK12" i="2" a="1"/>
  <c r="JM12" i="2" a="1"/>
  <c r="DD12" i="2" a="1"/>
  <c r="BY12" i="2" a="1"/>
  <c r="LO12" i="2" a="1"/>
  <c r="MZ12" i="2" a="1"/>
  <c r="JI12" i="2" a="1"/>
  <c r="GV12" i="2" a="1"/>
  <c r="GD12" i="2" a="1"/>
  <c r="CV12" i="2" a="1"/>
  <c r="DW12" i="2" a="1"/>
  <c r="KK12" i="2" a="1"/>
  <c r="KY12" i="2" a="1"/>
  <c r="OB12" i="2" a="1"/>
  <c r="FO12" i="2" a="1"/>
  <c r="FH12" i="2" a="1"/>
  <c r="CN12" i="2" a="1"/>
  <c r="CO12" i="2" a="1"/>
  <c r="KC12" i="2" a="1"/>
  <c r="OJ12" i="2" a="1"/>
  <c r="MD12" i="2" a="1"/>
  <c r="IS12" i="2" a="1"/>
  <c r="FM12" i="2" a="1"/>
  <c r="HZ12" i="2" a="1"/>
  <c r="CF12" i="2" a="1"/>
  <c r="EM12" i="2" a="1"/>
  <c r="PX12" i="2" a="1"/>
  <c r="KD12" i="2" a="1"/>
  <c r="OV12" i="2" a="1"/>
  <c r="PE12" i="2" a="1"/>
  <c r="EY12" i="2" a="1"/>
  <c r="HQ12" i="2" a="1"/>
  <c r="HL12" i="2" a="1"/>
  <c r="BX12" i="2" a="1"/>
  <c r="DR12" i="2" a="1"/>
  <c r="DX12" i="2" a="1"/>
  <c r="BC12" i="2" a="1"/>
  <c r="MY12" i="2" a="1"/>
  <c r="LN12" i="2" a="1"/>
  <c r="KJ12" i="2" a="1"/>
  <c r="EQ12" i="2" a="1"/>
  <c r="HF12" i="2" a="1"/>
  <c r="EI12" i="2" a="1"/>
  <c r="BR12" i="2" a="1"/>
  <c r="OR12" i="2" a="1"/>
  <c r="KX12" i="2" a="1"/>
  <c r="HU12" i="2" a="1"/>
  <c r="IT12" i="2" a="1"/>
  <c r="EU12" i="2" a="1"/>
  <c r="CR12" i="2" a="1"/>
  <c r="MI12" i="2" a="1"/>
  <c r="PN12" i="2" a="1"/>
  <c r="OA12" i="2" a="1"/>
  <c r="HV12" i="2" a="1"/>
  <c r="HP12" i="2" a="1"/>
  <c r="CT12" i="2" a="1"/>
  <c r="BJ12" i="2" a="1"/>
  <c r="NX12" i="2" a="1"/>
  <c r="KB12" i="2" a="1"/>
  <c r="HE12" i="2" a="1"/>
  <c r="HR12" i="2" a="1"/>
  <c r="IL12" i="2" a="1"/>
  <c r="ED12" i="2" a="1"/>
  <c r="QJ12" i="2" a="1"/>
  <c r="OX12" i="2" a="1"/>
  <c r="OI12" i="2" a="1"/>
  <c r="GJ12" i="2" a="1"/>
  <c r="HJ12" i="2" a="1"/>
  <c r="DG12" i="2" a="1"/>
  <c r="MW12" i="2" a="1"/>
  <c r="LV12" i="2" a="1"/>
  <c r="KT12" i="2" a="1"/>
  <c r="HW12" i="2" a="1"/>
  <c r="FP12" i="2" a="1"/>
  <c r="CU12" i="2" a="1"/>
  <c r="QA12" i="2" a="1"/>
  <c r="MV12" i="2" a="1"/>
  <c r="PJ12" i="2" a="1"/>
  <c r="GG12" i="2" a="1"/>
  <c r="ID12" i="2" a="1"/>
  <c r="CM12" i="2" a="1"/>
  <c r="PS12" i="2" a="1"/>
  <c r="LP12" i="2" a="1"/>
  <c r="NZ12" i="2" a="1"/>
  <c r="GX12" i="2" a="1"/>
  <c r="HB12" i="2" a="1"/>
  <c r="DY12" i="2" a="1"/>
  <c r="PC12" i="2" a="1"/>
  <c r="KE12" i="2" a="1"/>
  <c r="LQ12" i="2" a="1"/>
  <c r="PM12" i="2" a="1"/>
  <c r="QC12" i="2" a="1"/>
  <c r="OG12" i="2" a="1"/>
  <c r="OW12" i="2" a="1"/>
  <c r="OF12" i="2" a="1"/>
  <c r="MX12" i="2" a="1"/>
  <c r="LX12" i="2" a="1"/>
  <c r="JP12" i="2" a="1"/>
  <c r="FI12" i="2" a="1"/>
  <c r="GU12" i="2" a="1"/>
  <c r="FC12" i="2" a="1"/>
  <c r="GT12" i="2" a="1"/>
  <c r="IR12" i="2" a="1"/>
  <c r="ER12" i="2" a="1"/>
  <c r="GZ12" i="2" a="1"/>
  <c r="FS12" i="2" a="1"/>
  <c r="DT12" i="2" a="1"/>
  <c r="EF12" i="2" a="1"/>
  <c r="DI12" i="2" a="1"/>
  <c r="CQ12" i="2" a="1"/>
  <c r="CA12" i="2" a="1"/>
  <c r="BB12" i="2" a="1"/>
  <c r="OM12" i="2" a="1"/>
  <c r="MU12" i="2" a="1"/>
  <c r="NJ12" i="2" a="1"/>
  <c r="JQ12" i="2" a="1"/>
  <c r="JV12" i="2" a="1"/>
  <c r="IB12" i="2" a="1"/>
  <c r="CS12" i="2" a="1"/>
  <c r="BE12" i="2" a="1"/>
  <c r="OE12" i="2" a="1"/>
  <c r="KS12" i="2" a="1"/>
  <c r="LU12" i="2" a="1"/>
  <c r="PH12" i="2" a="1"/>
  <c r="FW12" i="2" a="1"/>
  <c r="EX12" i="2" a="1"/>
  <c r="IW12" i="2" a="1"/>
  <c r="CJ12" i="2" a="1"/>
  <c r="DE12" i="2" a="1"/>
  <c r="NW12" i="2" a="1"/>
  <c r="PP12" i="2" a="1"/>
  <c r="MN12" i="2" a="1"/>
  <c r="JA12" i="2" a="1"/>
  <c r="EO12" i="2" a="1"/>
  <c r="HX12" i="2" a="1"/>
  <c r="EH12" i="2" a="1"/>
  <c r="CI12" i="2" a="1"/>
  <c r="NO12" i="2" a="1"/>
  <c r="KO12" i="2" a="1"/>
  <c r="NH12" i="2" a="1"/>
  <c r="IZ12" i="2" a="1"/>
  <c r="JF12" i="2" a="1"/>
  <c r="GY12" i="2" a="1"/>
  <c r="DZ12" i="2" a="1"/>
  <c r="BS12" i="2" a="1"/>
  <c r="NG12" i="2" a="1"/>
  <c r="OD12" i="2" a="1"/>
  <c r="LT12" i="2" a="1"/>
  <c r="IK12" i="2" a="1"/>
  <c r="FL12" i="2" a="1"/>
  <c r="GA12" i="2" a="1"/>
  <c r="PD12" i="2" a="1"/>
  <c r="NP12" i="2" a="1"/>
  <c r="JO12" i="2" a="1"/>
  <c r="JB12" i="2" a="1"/>
  <c r="EK12" i="2" a="1"/>
  <c r="MQ12" i="2" a="1"/>
  <c r="MJ12" i="2" a="1"/>
  <c r="JG12" i="2" a="1"/>
  <c r="GC12" i="2" a="1"/>
  <c r="BO12" i="2" a="1"/>
  <c r="NU12" i="2" a="1"/>
  <c r="KN12" i="2" a="1"/>
  <c r="IY12" i="2" a="1"/>
  <c r="FF12" i="2" a="1"/>
  <c r="CB12" i="2" a="1"/>
  <c r="NM12" i="2" a="1"/>
  <c r="QD12" i="2" a="1"/>
  <c r="IQ12" i="2" a="1"/>
  <c r="JS12" i="2" a="1"/>
  <c r="CY12" i="2" a="1"/>
  <c r="NL12" i="2" a="1"/>
  <c r="QF12" i="2" a="1"/>
  <c r="II12" i="2" a="1"/>
  <c r="FT12" i="2" a="1"/>
  <c r="CD12" i="2" a="1"/>
  <c r="LK12" i="2" a="1"/>
  <c r="NR12" i="2" a="1"/>
  <c r="IA12" i="2" a="1"/>
  <c r="FJ12" i="2" a="1"/>
  <c r="DO12" i="2" a="1"/>
  <c r="MO12" i="2" a="1"/>
  <c r="PL12" i="2" a="1"/>
  <c r="HI12" i="2" a="1"/>
  <c r="IJ12" i="2" a="1"/>
  <c r="DV12" i="2" a="1"/>
  <c r="KP12" i="2" a="1"/>
  <c r="OZ12" i="2" a="1"/>
  <c r="HK12" i="2" a="1"/>
  <c r="EJ12" i="2" a="1"/>
  <c r="BP12" i="2" a="1"/>
  <c r="OU12" i="2" a="1"/>
  <c r="QG12" i="2" a="1"/>
  <c r="LI12" i="2" a="1"/>
  <c r="OQ12" i="2" a="1"/>
  <c r="OL12" i="2" a="1"/>
  <c r="NK12" i="2" a="1"/>
  <c r="NQ12" i="2" a="1"/>
  <c r="NT12" i="2" a="1"/>
  <c r="LR12" i="2" a="1"/>
  <c r="NN12" i="2" a="1"/>
  <c r="JY12" i="2" a="1"/>
  <c r="FA12" i="2" a="1"/>
  <c r="GM12" i="2" a="1"/>
  <c r="EP12" i="2" a="1"/>
  <c r="EZ12" i="2" a="1"/>
  <c r="GS12" i="2" a="1"/>
  <c r="JC12" i="2" a="1"/>
  <c r="GB12" i="2" a="1"/>
  <c r="EV12" i="2" a="1"/>
  <c r="DL12" i="2" a="1"/>
  <c r="DP12" i="2" a="1"/>
  <c r="DA12" i="2" a="1"/>
  <c r="EC12" i="2" a="1"/>
  <c r="BZ12" i="2" a="1"/>
  <c r="BF12" i="2" a="1"/>
  <c r="LA12" i="2" a="1"/>
  <c r="MP12" i="2" a="1"/>
  <c r="KL12" i="2" a="1"/>
  <c r="ES12" i="2" a="1"/>
  <c r="JD12" i="2" a="1"/>
  <c r="FE12" i="2" a="1"/>
  <c r="CZ12" i="2" a="1"/>
  <c r="CP12" i="2" a="1"/>
  <c r="PQ12" i="2" a="1"/>
  <c r="NA12" i="2" a="1"/>
  <c r="LE12" i="2" a="1"/>
  <c r="NC12" i="2" a="1"/>
  <c r="JX12" i="2" a="1"/>
  <c r="GR12" i="2" a="1"/>
  <c r="IM12" i="2" a="1"/>
  <c r="CK12" i="2" a="1"/>
  <c r="BI12" i="2" a="1"/>
  <c r="PI12" i="2" a="1"/>
  <c r="ME12" i="2" a="1"/>
  <c r="KI12" i="2" a="1"/>
  <c r="MS12" i="2" a="1"/>
  <c r="JH12" i="2" a="1"/>
  <c r="IP12" i="2" a="1"/>
  <c r="HN12" i="2" a="1"/>
  <c r="CC12" i="2" a="1"/>
  <c r="BH12" i="2" a="1"/>
  <c r="PA12" i="2" a="1"/>
  <c r="LJ12" i="2" a="1"/>
  <c r="PF12" i="2" a="1"/>
  <c r="PO12" i="2" a="1"/>
  <c r="FG12" i="2" a="1"/>
  <c r="IE12" i="2" a="1"/>
  <c r="GN12" i="2" a="1"/>
  <c r="EN12" i="2" a="1"/>
  <c r="BG12" i="2" a="1"/>
  <c r="OS12" i="2" a="1"/>
  <c r="MT12" i="2" a="1"/>
  <c r="MB12" i="2" a="1"/>
  <c r="JW12" i="2" a="1"/>
  <c r="JJ12" i="2" a="1"/>
  <c r="HA12" i="2" a="1"/>
  <c r="BK12" i="2" a="1"/>
  <c r="OK12" i="2" a="1"/>
  <c r="MM12" i="2" a="1"/>
  <c r="OT12" i="2" a="1"/>
  <c r="IU12" i="2" a="1"/>
  <c r="FR12" i="2" a="1"/>
  <c r="DH12" i="2" a="1"/>
  <c r="NI12" i="2" a="1"/>
  <c r="KH12" i="2" a="1"/>
  <c r="PR12" i="2" a="1"/>
  <c r="IG12" i="2" a="1"/>
  <c r="IO12" i="2" a="1"/>
  <c r="DB12" i="2" a="1"/>
  <c r="BD12" i="2" a="1"/>
  <c r="OH12" i="2" a="1"/>
  <c r="KA12" i="2" a="1"/>
  <c r="HM12" i="2" a="1"/>
  <c r="IF12" i="2" a="1"/>
  <c r="JL12" i="2" a="1"/>
  <c r="BN12" i="2" a="1"/>
  <c r="QI12" i="2" a="1"/>
  <c r="NB12" i="2" a="1"/>
  <c r="NF12" i="2" a="1"/>
  <c r="IV12" i="2" a="1"/>
  <c r="JR12" i="2" a="1"/>
  <c r="DK12" i="2" a="1"/>
  <c r="LS12" i="2" a="1"/>
  <c r="PT12" i="2" a="1"/>
  <c r="LZ12" i="2" a="1"/>
  <c r="IH12" i="2" a="1"/>
  <c r="HD12" i="2" a="1"/>
  <c r="DC12" i="2" a="1"/>
  <c r="BM12" i="2" a="1"/>
  <c r="MR12" i="2" a="1"/>
  <c r="PU12" i="2" a="1"/>
  <c r="GO12" i="2" a="1"/>
  <c r="FX12" i="2" a="1"/>
  <c r="GL12" i="2" a="1"/>
  <c r="DF12" i="2" a="1"/>
  <c r="LL12" i="2" a="1"/>
  <c r="KZ12" i="2" a="1"/>
  <c r="MH12" i="2" a="1"/>
  <c r="FB12" i="2" a="1"/>
  <c r="ET12" i="2" a="1"/>
  <c r="CX12" i="2" a="1"/>
  <c r="KU12" i="2" a="1"/>
  <c r="LF12" i="2" a="1"/>
  <c r="LM12" i="2" a="1"/>
  <c r="JU12" i="2" a="1"/>
  <c r="IX12" i="2" a="1"/>
  <c r="DN12" i="2" a="1"/>
  <c r="FZ12" i="2" a="1"/>
  <c r="DU12" i="2" a="1"/>
  <c r="OY12" i="2" a="1"/>
  <c r="LH12" i="2" a="1"/>
  <c r="IC12" i="2" a="1"/>
  <c r="GF12" i="2" a="1"/>
  <c r="FD12" i="2" a="1"/>
  <c r="DJ12" i="2" a="1"/>
  <c r="AX12" i="2" a="1"/>
  <c r="OC12" i="2" a="1"/>
  <c r="LG12" i="2" a="1"/>
  <c r="LB12" i="2" a="1"/>
  <c r="JZ12" i="2" a="1"/>
  <c r="GH12" i="2" a="1"/>
  <c r="EA12" i="2" a="1"/>
  <c r="CG12" i="2" a="1"/>
  <c r="D12" i="2" a="1"/>
  <c r="MC12" i="2" a="1"/>
  <c r="LD12" i="2" a="1"/>
  <c r="PZ12" i="2" a="1"/>
  <c r="JK12" i="2" a="1"/>
  <c r="FU12" i="2" a="1"/>
  <c r="DS12" i="2" a="1"/>
  <c r="CW12" i="2" a="1"/>
  <c r="MA12" i="2" a="1"/>
  <c r="KW12" i="2" a="1"/>
  <c r="KR12" i="2" a="1"/>
  <c r="LW12" i="2" a="1"/>
  <c r="HH12" i="2" a="1"/>
  <c r="GQ12" i="2" a="1"/>
  <c r="CL12" i="2" a="1"/>
  <c r="BU12" i="2" a="1"/>
  <c r="NE12" i="2" a="1"/>
  <c r="MF12" i="2" a="1"/>
  <c r="QE12" i="2" a="1"/>
  <c r="GW12" i="2" a="1"/>
  <c r="HG12" i="2" a="1"/>
  <c r="EW12" i="2" a="1"/>
  <c r="CH12" i="2" a="1"/>
  <c r="QH12" i="2" a="1"/>
  <c r="ON12" i="2" a="1"/>
  <c r="PV12" i="2" a="1"/>
  <c r="KQ12" i="2" a="1"/>
  <c r="GI12" i="2" a="1"/>
  <c r="JN12" i="2" a="1"/>
  <c r="BV12" i="2" a="1"/>
  <c r="BT12" i="2" a="1"/>
  <c r="LC12" i="2" a="1"/>
  <c r="ML12" i="2" a="1"/>
  <c r="QB12" i="2" a="1"/>
  <c r="HS12" i="2" a="1"/>
  <c r="FV12" i="2" a="1"/>
  <c r="IN12" i="2" a="1"/>
  <c r="EG12" i="2" a="1"/>
  <c r="BQ12" i="2" a="1"/>
  <c r="MG12" i="2" a="1"/>
  <c r="PW12" i="2" a="1"/>
  <c r="OO12" i="2" a="1"/>
  <c r="FY12" i="2" a="1"/>
  <c r="JT12" i="2" a="1"/>
  <c r="HO12" i="2" a="1"/>
  <c r="CE12" i="2" a="1"/>
  <c r="EL12" i="2" a="1"/>
  <c r="D12" i="2" l="1"/>
  <c r="QH12" i="2"/>
  <c r="QJ12" i="2"/>
  <c r="QI12" i="2"/>
  <c r="NY12" i="2"/>
  <c r="LM12" i="2"/>
  <c r="MH12" i="2"/>
  <c r="KQ12" i="2"/>
  <c r="OI12" i="2"/>
  <c r="LW12" i="2"/>
  <c r="PZ12" i="2"/>
  <c r="LB12" i="2"/>
  <c r="OT12" i="2"/>
  <c r="PE12" i="2"/>
  <c r="PO12" i="2"/>
  <c r="MS12" i="2"/>
  <c r="NC12" i="2"/>
  <c r="KG12" i="2"/>
  <c r="NN12" i="2"/>
  <c r="LX12" i="2"/>
  <c r="ND12" i="2"/>
  <c r="NZ12" i="2"/>
  <c r="QB12" i="2"/>
  <c r="KT12" i="2"/>
  <c r="LZ12" i="2"/>
  <c r="NF12" i="2"/>
  <c r="OA12" i="2"/>
  <c r="PR12" i="2"/>
  <c r="KJ12" i="2"/>
  <c r="MB12" i="2"/>
  <c r="NH12" i="2"/>
  <c r="OB12" i="2"/>
  <c r="PH12" i="2"/>
  <c r="KL12" i="2"/>
  <c r="LR12" i="2"/>
  <c r="MX12" i="2"/>
  <c r="NS12" i="2"/>
  <c r="OO12" i="2"/>
  <c r="PJ12" i="2"/>
  <c r="PU12" i="2"/>
  <c r="QE12" i="2"/>
  <c r="KB12" i="2"/>
  <c r="KN12" i="2"/>
  <c r="KX12" i="2"/>
  <c r="LH12" i="2"/>
  <c r="LT12" i="2"/>
  <c r="MD12" i="2"/>
  <c r="MN12" i="2"/>
  <c r="MZ12" i="2"/>
  <c r="NJ12" i="2"/>
  <c r="NT12" i="2"/>
  <c r="OF12" i="2"/>
  <c r="OP12" i="2"/>
  <c r="OZ12" i="2"/>
  <c r="PL12" i="2"/>
  <c r="PV12" i="2"/>
  <c r="QF12" i="2"/>
  <c r="KR12" i="2"/>
  <c r="LD12" i="2"/>
  <c r="MJ12" i="2"/>
  <c r="NP12" i="2"/>
  <c r="OV12" i="2"/>
  <c r="PF12" i="2"/>
  <c r="KI12" i="2"/>
  <c r="LE12" i="2"/>
  <c r="MK12" i="2"/>
  <c r="NQ12" i="2"/>
  <c r="OW12" i="2"/>
  <c r="PG12" i="2"/>
  <c r="LF12" i="2"/>
  <c r="ML12" i="2"/>
  <c r="NR12" i="2"/>
  <c r="OX12" i="2"/>
  <c r="QD12" i="2"/>
  <c r="KA12" i="2"/>
  <c r="LG12" i="2"/>
  <c r="MM12" i="2"/>
  <c r="OD12" i="2"/>
  <c r="KO12" i="2"/>
  <c r="KY12" i="2"/>
  <c r="LU12" i="2"/>
  <c r="MP12" i="2"/>
  <c r="NK12" i="2"/>
  <c r="OG12" i="2"/>
  <c r="PB12" i="2"/>
  <c r="PW12" i="2"/>
  <c r="KZ12" i="2"/>
  <c r="LV12" i="2"/>
  <c r="MF12" i="2"/>
  <c r="NB12" i="2"/>
  <c r="PN12" i="2"/>
  <c r="KH12" i="2"/>
  <c r="LN12" i="2"/>
  <c r="MT12" i="2"/>
  <c r="OJ12" i="2"/>
  <c r="PP12" i="2"/>
  <c r="LO12" i="2"/>
  <c r="MU12" i="2"/>
  <c r="OL12" i="2"/>
  <c r="QC12" i="2"/>
  <c r="KV12" i="2"/>
  <c r="LP12" i="2"/>
  <c r="MV12" i="2"/>
  <c r="ON12" i="2"/>
  <c r="PT12" i="2"/>
  <c r="KW12" i="2"/>
  <c r="MC12" i="2"/>
  <c r="NI12" i="2"/>
  <c r="OY12" i="2"/>
  <c r="KD12" i="2"/>
  <c r="LJ12" i="2"/>
  <c r="ME12" i="2"/>
  <c r="NA12" i="2"/>
  <c r="NV12" i="2"/>
  <c r="OQ12" i="2"/>
  <c r="PM12" i="2"/>
  <c r="KF12" i="2"/>
  <c r="KP12" i="2"/>
  <c r="LL12" i="2"/>
  <c r="MR12" i="2"/>
  <c r="NL12" i="2"/>
  <c r="NX12" i="2"/>
  <c r="OH12" i="2"/>
  <c r="OR12" i="2"/>
  <c r="PD12" i="2"/>
  <c r="PX12" i="2"/>
  <c r="KC12" i="2"/>
  <c r="KK12" i="2"/>
  <c r="KS12" i="2"/>
  <c r="LA12" i="2"/>
  <c r="LI12" i="2"/>
  <c r="LQ12" i="2"/>
  <c r="LY12" i="2"/>
  <c r="MG12" i="2"/>
  <c r="MO12" i="2"/>
  <c r="MW12" i="2"/>
  <c r="NE12" i="2"/>
  <c r="NM12" i="2"/>
  <c r="NU12" i="2"/>
  <c r="OC12" i="2"/>
  <c r="OK12" i="2"/>
  <c r="OS12" i="2"/>
  <c r="PA12" i="2"/>
  <c r="PI12" i="2"/>
  <c r="PQ12" i="2"/>
  <c r="PY12" i="2"/>
  <c r="QG12" i="2"/>
  <c r="KE12" i="2"/>
  <c r="KM12" i="2"/>
  <c r="KU12" i="2"/>
  <c r="LC12" i="2"/>
  <c r="LK12" i="2"/>
  <c r="LS12" i="2"/>
  <c r="MA12" i="2"/>
  <c r="MI12" i="2"/>
  <c r="MQ12" i="2"/>
  <c r="MY12" i="2"/>
  <c r="NG12" i="2"/>
  <c r="NO12" i="2"/>
  <c r="NW12" i="2"/>
  <c r="OE12" i="2"/>
  <c r="OM12" i="2"/>
  <c r="OU12" i="2"/>
  <c r="PC12" i="2"/>
  <c r="PK12" i="2"/>
  <c r="PS12" i="2"/>
  <c r="QA12" i="2"/>
  <c r="IJ12" i="2"/>
  <c r="GL12" i="2"/>
  <c r="HJ12" i="2"/>
  <c r="IL12" i="2"/>
  <c r="JL12" i="2"/>
  <c r="EU12" i="2"/>
  <c r="FR12" i="2"/>
  <c r="HL12" i="2"/>
  <c r="GN12" i="2"/>
  <c r="HN12" i="2"/>
  <c r="IM12" i="2"/>
  <c r="JM12" i="2"/>
  <c r="EV12" i="2"/>
  <c r="FS12" i="2"/>
  <c r="GP12" i="2"/>
  <c r="HO12" i="2"/>
  <c r="IN12" i="2"/>
  <c r="JN12" i="2"/>
  <c r="EW12" i="2"/>
  <c r="GQ12" i="2"/>
  <c r="HP12" i="2"/>
  <c r="IO12" i="2"/>
  <c r="FD12" i="2"/>
  <c r="GA12" i="2"/>
  <c r="GY12" i="2"/>
  <c r="HX12" i="2"/>
  <c r="IW12" i="2"/>
  <c r="FE12" i="2"/>
  <c r="GB12" i="2"/>
  <c r="GZ12" i="2"/>
  <c r="HY12" i="2"/>
  <c r="IX12" i="2"/>
  <c r="ET12" i="2"/>
  <c r="FP12" i="2"/>
  <c r="FT12" i="2"/>
  <c r="JR12" i="2"/>
  <c r="FF12" i="2"/>
  <c r="GC12" i="2"/>
  <c r="JB12" i="2"/>
  <c r="HA12" i="2"/>
  <c r="HZ12" i="2"/>
  <c r="FH12" i="2"/>
  <c r="GD12" i="2"/>
  <c r="IB12" i="2"/>
  <c r="JC12" i="2"/>
  <c r="ER12" i="2"/>
  <c r="FN12" i="2"/>
  <c r="HB12" i="2"/>
  <c r="ID12" i="2"/>
  <c r="FJ12" i="2"/>
  <c r="HD12" i="2"/>
  <c r="JS12" i="2"/>
  <c r="FU12" i="2"/>
  <c r="GH12" i="2"/>
  <c r="HF12" i="2"/>
  <c r="HQ12" i="2"/>
  <c r="IE12" i="2"/>
  <c r="IP12" i="2"/>
  <c r="EX12" i="2"/>
  <c r="FK12" i="2"/>
  <c r="GS12" i="2"/>
  <c r="IR12" i="2"/>
  <c r="JE12" i="2"/>
  <c r="JT12" i="2"/>
  <c r="FV12" i="2"/>
  <c r="GI12" i="2"/>
  <c r="HG12" i="2"/>
  <c r="HR12" i="2"/>
  <c r="IF12" i="2"/>
  <c r="IT12" i="2"/>
  <c r="GF12" i="2"/>
  <c r="FL12" i="2"/>
  <c r="JF12" i="2"/>
  <c r="EO12" i="2"/>
  <c r="GR12" i="2"/>
  <c r="JD12" i="2"/>
  <c r="EZ12" i="2"/>
  <c r="GT12" i="2"/>
  <c r="HT12" i="2"/>
  <c r="JU12" i="2"/>
  <c r="FB12" i="2"/>
  <c r="FX12" i="2"/>
  <c r="GJ12" i="2"/>
  <c r="HH12" i="2"/>
  <c r="HV12" i="2"/>
  <c r="IG12" i="2"/>
  <c r="IU12" i="2"/>
  <c r="JJ12" i="2"/>
  <c r="FM12" i="2"/>
  <c r="FZ12" i="2"/>
  <c r="GV12" i="2"/>
  <c r="JV12" i="2"/>
  <c r="EP12" i="2"/>
  <c r="FC12" i="2"/>
  <c r="GK12" i="2"/>
  <c r="GX12" i="2"/>
  <c r="HI12" i="2"/>
  <c r="HW12" i="2"/>
  <c r="IH12" i="2"/>
  <c r="IV12" i="2"/>
  <c r="JK12" i="2"/>
  <c r="JZ12" i="2"/>
  <c r="EQ12" i="2"/>
  <c r="EY12" i="2"/>
  <c r="FG12" i="2"/>
  <c r="FO12" i="2"/>
  <c r="FW12" i="2"/>
  <c r="GE12" i="2"/>
  <c r="GM12" i="2"/>
  <c r="GU12" i="2"/>
  <c r="HC12" i="2"/>
  <c r="HK12" i="2"/>
  <c r="HS12" i="2"/>
  <c r="IA12" i="2"/>
  <c r="II12" i="2"/>
  <c r="IQ12" i="2"/>
  <c r="IY12" i="2"/>
  <c r="JG12" i="2"/>
  <c r="JO12" i="2"/>
  <c r="JW12" i="2"/>
  <c r="IZ12" i="2"/>
  <c r="JH12" i="2"/>
  <c r="JX12" i="2"/>
  <c r="ES12" i="2"/>
  <c r="FA12" i="2"/>
  <c r="FI12" i="2"/>
  <c r="FQ12" i="2"/>
  <c r="FY12" i="2"/>
  <c r="GG12" i="2"/>
  <c r="GO12" i="2"/>
  <c r="GW12" i="2"/>
  <c r="HE12" i="2"/>
  <c r="HM12" i="2"/>
  <c r="HU12" i="2"/>
  <c r="IC12" i="2"/>
  <c r="IK12" i="2"/>
  <c r="IS12" i="2"/>
  <c r="JA12" i="2"/>
  <c r="JI12" i="2"/>
  <c r="JQ12" i="2"/>
  <c r="JY12" i="2"/>
  <c r="JP12" i="2"/>
  <c r="CI12" i="2"/>
  <c r="DE12" i="2"/>
  <c r="CP12" i="2"/>
  <c r="BZ12" i="2"/>
  <c r="CA12" i="2"/>
  <c r="EE12" i="2"/>
  <c r="EL12" i="2"/>
  <c r="DV12" i="2"/>
  <c r="DF12" i="2"/>
  <c r="DG12" i="2"/>
  <c r="ED12" i="2"/>
  <c r="CW12" i="2"/>
  <c r="CG12" i="2"/>
  <c r="EK12" i="2"/>
  <c r="DU12" i="2"/>
  <c r="EM12" i="2"/>
  <c r="CO12" i="2"/>
  <c r="DW12" i="2"/>
  <c r="BY12" i="2"/>
  <c r="EC12" i="2"/>
  <c r="CQ12" i="2"/>
  <c r="DM12" i="2"/>
  <c r="DN12" i="2"/>
  <c r="CX12" i="2"/>
  <c r="DO12" i="2"/>
  <c r="CH12" i="2"/>
  <c r="CY12" i="2"/>
  <c r="CB12" i="2"/>
  <c r="CR12" i="2"/>
  <c r="DH12" i="2"/>
  <c r="DX12" i="2"/>
  <c r="EN12" i="2"/>
  <c r="CC12" i="2"/>
  <c r="CK12" i="2"/>
  <c r="CS12" i="2"/>
  <c r="DA12" i="2"/>
  <c r="DI12" i="2"/>
  <c r="DQ12" i="2"/>
  <c r="DY12" i="2"/>
  <c r="EG12" i="2"/>
  <c r="BV12" i="2"/>
  <c r="CD12" i="2"/>
  <c r="CL12" i="2"/>
  <c r="CT12" i="2"/>
  <c r="DB12" i="2"/>
  <c r="DJ12" i="2"/>
  <c r="DR12" i="2"/>
  <c r="DZ12" i="2"/>
  <c r="EH12" i="2"/>
  <c r="CJ12" i="2"/>
  <c r="CZ12" i="2"/>
  <c r="DP12" i="2"/>
  <c r="EF12" i="2"/>
  <c r="BW12" i="2"/>
  <c r="CE12" i="2"/>
  <c r="CM12" i="2"/>
  <c r="CU12" i="2"/>
  <c r="DC12" i="2"/>
  <c r="DK12" i="2"/>
  <c r="DS12" i="2"/>
  <c r="EA12" i="2"/>
  <c r="EI12" i="2"/>
  <c r="BX12" i="2"/>
  <c r="CF12" i="2"/>
  <c r="CN12" i="2"/>
  <c r="CV12" i="2"/>
  <c r="DD12" i="2"/>
  <c r="DL12" i="2"/>
  <c r="DT12" i="2"/>
  <c r="EB12" i="2"/>
  <c r="EJ12" i="2"/>
  <c r="BL12" i="2"/>
  <c r="BP12" i="2"/>
  <c r="BQ12" i="2"/>
  <c r="BT12" i="2"/>
  <c r="BM12" i="2"/>
  <c r="BU12" i="2"/>
  <c r="BN12" i="2"/>
  <c r="BO12" i="2"/>
  <c r="BR12" i="2"/>
  <c r="BK12" i="2"/>
  <c r="BS12" i="2"/>
  <c r="BJ12" i="2"/>
  <c r="BD12" i="2"/>
  <c r="AX12" i="2"/>
  <c r="BC12" i="2"/>
  <c r="BG12" i="2"/>
  <c r="BH12" i="2"/>
  <c r="BI12" i="2"/>
  <c r="BE12" i="2"/>
  <c r="BF12" i="2"/>
  <c r="BB12" i="2"/>
  <c r="AQ12" i="2" a="1"/>
  <c r="AI12" i="2" a="1"/>
  <c r="AO12" i="2" a="1"/>
  <c r="AT12" i="2" a="1"/>
  <c r="AK12" i="2" a="1"/>
  <c r="AA12" i="2" a="1"/>
  <c r="AP12" i="2" a="1"/>
  <c r="AY12" i="2" a="1"/>
  <c r="AU12" i="2" a="1"/>
  <c r="O12" i="2" a="1"/>
  <c r="F12" i="2" a="1"/>
  <c r="P12" i="2" a="1"/>
  <c r="W12" i="2" a="1"/>
  <c r="AB12" i="2" a="1"/>
  <c r="AC12" i="2" a="1"/>
  <c r="S12" i="2" a="1"/>
  <c r="Y12" i="2" a="1"/>
  <c r="U12" i="2" a="1"/>
  <c r="AV12" i="2" a="1"/>
  <c r="Q12" i="2" a="1"/>
  <c r="AG12" i="2" a="1"/>
  <c r="BA12" i="2" a="1"/>
  <c r="AN12" i="2" a="1"/>
  <c r="N12" i="2" a="1"/>
  <c r="AE12" i="2" a="1"/>
  <c r="AD12" i="2" a="1"/>
  <c r="AH12" i="2" a="1"/>
  <c r="B12" i="2" a="1"/>
  <c r="L12" i="2" a="1"/>
  <c r="V12" i="2" a="1"/>
  <c r="E12" i="2" a="1"/>
  <c r="R12" i="2" a="1"/>
  <c r="AS12" i="2" a="1"/>
  <c r="Z12" i="2" a="1"/>
  <c r="AM12" i="2" a="1"/>
  <c r="AR12" i="2" a="1"/>
  <c r="G12" i="2" a="1"/>
  <c r="X12" i="2" a="1"/>
  <c r="H12" i="2" a="1"/>
  <c r="K12" i="2" a="1"/>
  <c r="AL12" i="2" a="1"/>
  <c r="C12" i="2" a="1"/>
  <c r="AJ12" i="2" a="1"/>
  <c r="J12" i="2" a="1"/>
  <c r="I12" i="2" a="1"/>
  <c r="AW12" i="2" a="1"/>
  <c r="M12" i="2" a="1"/>
  <c r="AF12" i="2" a="1"/>
  <c r="T12" i="2" a="1"/>
  <c r="AZ12" i="2" a="1"/>
  <c r="BA12" i="2" l="1"/>
  <c r="AZ12" i="2"/>
  <c r="T12" i="2"/>
  <c r="AR12" i="2"/>
  <c r="M12" i="2"/>
  <c r="U12" i="2"/>
  <c r="AS12" i="2"/>
  <c r="F12" i="2"/>
  <c r="V12" i="2"/>
  <c r="AD12" i="2"/>
  <c r="O12" i="2"/>
  <c r="AE12" i="2"/>
  <c r="AU12" i="2"/>
  <c r="H12" i="2"/>
  <c r="X12" i="2"/>
  <c r="AN12" i="2"/>
  <c r="Q12" i="2"/>
  <c r="AG12" i="2"/>
  <c r="AW12" i="2"/>
  <c r="J12" i="2"/>
  <c r="R12" i="2"/>
  <c r="Z12" i="2"/>
  <c r="AH12" i="2"/>
  <c r="AP12" i="2"/>
  <c r="L12" i="2"/>
  <c r="AJ12" i="2"/>
  <c r="E12" i="2"/>
  <c r="AC12" i="2"/>
  <c r="AK12" i="2"/>
  <c r="N12" i="2"/>
  <c r="AT12" i="2"/>
  <c r="G12" i="2"/>
  <c r="W12" i="2"/>
  <c r="AM12" i="2"/>
  <c r="P12" i="2"/>
  <c r="AF12" i="2"/>
  <c r="AV12" i="2"/>
  <c r="I12" i="2"/>
  <c r="Y12" i="2"/>
  <c r="AO12" i="2"/>
  <c r="K12" i="2"/>
  <c r="S12" i="2"/>
  <c r="AA12" i="2"/>
  <c r="AI12" i="2"/>
  <c r="AQ12" i="2"/>
  <c r="AY12" i="2"/>
  <c r="AB12" i="2"/>
  <c r="AL12" i="2"/>
  <c r="C12" i="2"/>
  <c r="B12" i="2"/>
  <c r="AY11" i="2" l="1"/>
  <c r="AZ11" i="2" s="1"/>
  <c r="BA11" i="2" s="1"/>
  <c r="BB11" i="2" s="1"/>
  <c r="AU11" i="2"/>
  <c r="AV11" i="2" s="1"/>
  <c r="AW11" i="2" s="1"/>
  <c r="AX11" i="2" s="1"/>
  <c r="AQ11" i="2"/>
  <c r="AR11" i="2" s="1"/>
  <c r="AS11" i="2" s="1"/>
  <c r="AT11" i="2" s="1"/>
  <c r="AM11" i="2"/>
  <c r="AN11" i="2" s="1"/>
  <c r="AO11" i="2" s="1"/>
  <c r="AP11" i="2" s="1"/>
  <c r="AI11" i="2"/>
  <c r="AJ11" i="2" s="1"/>
  <c r="AK11" i="2" s="1"/>
  <c r="AL11" i="2" s="1"/>
  <c r="AE11" i="2"/>
  <c r="AF11" i="2" s="1"/>
  <c r="AG11" i="2" s="1"/>
  <c r="AH11" i="2" s="1"/>
  <c r="AA11" i="2"/>
  <c r="AB11" i="2" s="1"/>
  <c r="AC11" i="2" s="1"/>
  <c r="AD11" i="2" s="1"/>
  <c r="W11" i="2"/>
  <c r="X11" i="2" s="1"/>
  <c r="Y11" i="2" s="1"/>
  <c r="Z11" i="2" s="1"/>
  <c r="S11" i="2"/>
  <c r="T11" i="2" s="1"/>
  <c r="U11" i="2" s="1"/>
  <c r="V11" i="2" s="1"/>
  <c r="O11" i="2"/>
  <c r="P11" i="2" s="1"/>
  <c r="Q11" i="2" s="1"/>
  <c r="R11" i="2" s="1"/>
  <c r="K11" i="2"/>
  <c r="L11" i="2" s="1"/>
  <c r="M11" i="2" s="1"/>
  <c r="N11" i="2" s="1"/>
  <c r="G11" i="2"/>
  <c r="H11" i="2" s="1"/>
  <c r="I11" i="2" s="1"/>
  <c r="J11" i="2" s="1"/>
  <c r="E11" i="2"/>
  <c r="F11" i="2" s="1"/>
  <c r="D11" i="2"/>
  <c r="C11" i="2"/>
  <c r="B7" i="2"/>
  <c r="B6" i="2"/>
  <c r="B5" i="2"/>
  <c r="B4" i="2"/>
  <c r="B3" i="2"/>
  <c r="B2" i="2"/>
  <c r="B9" i="2" a="1"/>
  <c r="B9" i="2" l="1"/>
  <c r="BB13" i="2"/>
  <c r="AU13" i="2"/>
  <c r="AV13" i="2"/>
  <c r="AW13" i="2"/>
  <c r="AX13" i="2"/>
  <c r="AY13" i="2"/>
  <c r="AP13" i="2"/>
  <c r="AR13" i="2"/>
  <c r="AT13" i="2"/>
  <c r="AQ13" i="2"/>
  <c r="AS13" i="2"/>
  <c r="AL13" i="2"/>
  <c r="AK13" i="2"/>
  <c r="AN13" i="2"/>
  <c r="AJ13" i="2"/>
  <c r="AF13" i="2"/>
  <c r="AH13" i="2"/>
  <c r="AI13" i="2"/>
  <c r="AA13" i="2"/>
  <c r="AB13" i="2"/>
  <c r="AC13" i="2"/>
  <c r="AE13" i="2"/>
  <c r="AD13" i="2"/>
  <c r="W13" i="2"/>
  <c r="Z13" i="2"/>
  <c r="X13" i="2"/>
  <c r="Y13" i="2"/>
  <c r="T13" i="2"/>
  <c r="Q13" i="2"/>
  <c r="R13" i="2"/>
  <c r="S13" i="2"/>
  <c r="U13" i="2"/>
  <c r="N13" i="2"/>
  <c r="L13" i="2"/>
  <c r="M13" i="2"/>
  <c r="O13" i="2"/>
  <c r="P13" i="2"/>
  <c r="G13" i="2"/>
  <c r="H13" i="2"/>
  <c r="I13" i="2"/>
  <c r="K13" i="2"/>
  <c r="F13" i="2"/>
  <c r="E13" i="2"/>
  <c r="D13" i="2"/>
  <c r="C13" i="2"/>
  <c r="B10" i="1"/>
  <c r="C22" i="1" s="1"/>
  <c r="D21" i="1" s="1"/>
  <c r="E20" i="1" s="1"/>
  <c r="F19" i="1" s="1"/>
  <c r="G18" i="1" s="1"/>
  <c r="H17" i="1" s="1"/>
  <c r="I16" i="1" s="1"/>
  <c r="J15" i="1" s="1"/>
  <c r="K14" i="1" s="1"/>
  <c r="B23" i="1"/>
  <c r="BA13" i="2" l="1"/>
  <c r="DS13" i="2"/>
  <c r="FM13" i="2"/>
  <c r="HL13" i="2"/>
  <c r="IU13" i="2"/>
  <c r="CY13" i="2"/>
  <c r="NH13" i="2"/>
  <c r="OT13" i="2"/>
  <c r="IV13" i="2"/>
  <c r="NM13" i="2"/>
  <c r="NE13" i="2"/>
  <c r="KT13" i="2"/>
  <c r="GH13" i="2"/>
  <c r="NI13" i="2"/>
  <c r="EF13" i="2"/>
  <c r="CS13" i="2"/>
  <c r="DW13" i="2"/>
  <c r="CI13" i="2"/>
  <c r="DR13" i="2"/>
  <c r="JQ13" i="2"/>
  <c r="FQ13" i="2"/>
  <c r="FC13" i="2"/>
  <c r="GM13" i="2"/>
  <c r="OL13" i="2"/>
  <c r="IM13" i="2"/>
  <c r="CB13" i="2"/>
  <c r="IE13" i="2"/>
  <c r="PA13" i="2"/>
  <c r="GF13" i="2"/>
  <c r="IS13" i="2"/>
  <c r="NG13" i="2"/>
  <c r="CE13" i="2"/>
  <c r="JS13" i="2"/>
  <c r="KW13" i="2"/>
  <c r="PT13" i="2"/>
  <c r="CV13" i="2"/>
  <c r="IO13" i="2"/>
  <c r="LG13" i="2"/>
  <c r="DI13" i="2"/>
  <c r="CP13" i="2"/>
  <c r="FY13" i="2"/>
  <c r="HC13" i="2"/>
  <c r="DU13" i="2"/>
  <c r="GE13" i="2"/>
  <c r="GK13" i="2"/>
  <c r="IR13" i="2"/>
  <c r="EZ13" i="2"/>
  <c r="NQ13" i="2"/>
  <c r="OM13" i="2"/>
  <c r="JA13" i="2"/>
  <c r="GY13" i="2"/>
  <c r="KC13" i="2"/>
  <c r="HF13" i="2"/>
  <c r="FG13" i="2"/>
  <c r="PX13" i="2"/>
  <c r="DN13" i="2"/>
  <c r="GQ13" i="2"/>
  <c r="NB13" i="2"/>
  <c r="MF13" i="2"/>
  <c r="CK13" i="2"/>
  <c r="MY13" i="2"/>
  <c r="KX13" i="2"/>
  <c r="CA13" i="2"/>
  <c r="HI13" i="2"/>
  <c r="QI13" i="2"/>
  <c r="HT13" i="2"/>
  <c r="FA13" i="2"/>
  <c r="FK13" i="2"/>
  <c r="JE13" i="2"/>
  <c r="ER13" i="2"/>
  <c r="GB13" i="2"/>
  <c r="NT13" i="2"/>
  <c r="PY13" i="2"/>
  <c r="JH13" i="2"/>
  <c r="NW13" i="2"/>
  <c r="LJ13" i="2"/>
  <c r="JB13" i="2"/>
  <c r="JF13" i="2"/>
  <c r="OD13" i="2"/>
  <c r="HM13" i="2"/>
  <c r="MI13" i="2"/>
  <c r="KR13" i="2"/>
  <c r="OX13" i="2"/>
  <c r="DE13" i="2"/>
  <c r="PD13" i="2"/>
  <c r="LB13" i="2"/>
  <c r="II13" i="2"/>
  <c r="FB13" i="2"/>
  <c r="GX13" i="2"/>
  <c r="FN13" i="2"/>
  <c r="EP13" i="2"/>
  <c r="JM13" i="2"/>
  <c r="HY13" i="2"/>
  <c r="FS13" i="2"/>
  <c r="PC13" i="2"/>
  <c r="NN13" i="2"/>
  <c r="LA13" i="2"/>
  <c r="FZ13" i="2"/>
  <c r="KK13" i="2"/>
  <c r="OJ13" i="2"/>
  <c r="FD13" i="2"/>
  <c r="HZ13" i="2"/>
  <c r="PE13" i="2"/>
  <c r="JK13" i="2"/>
  <c r="OH13" i="2"/>
  <c r="KB13" i="2"/>
  <c r="QF13" i="2"/>
  <c r="HK13" i="2"/>
  <c r="LN13" i="2"/>
  <c r="BW13" i="2"/>
  <c r="GJ13" i="2"/>
  <c r="ID13" i="2"/>
  <c r="JU13" i="2"/>
  <c r="PS13" i="2"/>
  <c r="GS13" i="2"/>
  <c r="LI13" i="2"/>
  <c r="GP13" i="2"/>
  <c r="PK13" i="2"/>
  <c r="PM13" i="2"/>
  <c r="EA13" i="2"/>
  <c r="NV13" i="2"/>
  <c r="IP13" i="2"/>
  <c r="PP13" i="2"/>
  <c r="KO13" i="2"/>
  <c r="CT13" i="2"/>
  <c r="GN13" i="2"/>
  <c r="CM13" i="2"/>
  <c r="FU13" i="2"/>
  <c r="PN13" i="2"/>
  <c r="NF13" i="2"/>
  <c r="QE13" i="2"/>
  <c r="FR13" i="2"/>
  <c r="NP13" i="2"/>
  <c r="DM13" i="2"/>
  <c r="FT13" i="2"/>
  <c r="IN13" i="2"/>
  <c r="HB13" i="2"/>
  <c r="MG13" i="2"/>
  <c r="JC13" i="2"/>
  <c r="NK13" i="2"/>
  <c r="KU13" i="2"/>
  <c r="LY13" i="2"/>
  <c r="MX13" i="2"/>
  <c r="DB13" i="2"/>
  <c r="MU13" i="2"/>
  <c r="FH13" i="2"/>
  <c r="KI13" i="2"/>
  <c r="PF13" i="2"/>
  <c r="CW13" i="2"/>
  <c r="PI13" i="2"/>
  <c r="CX13" i="2"/>
  <c r="HP13" i="2"/>
  <c r="LD13" i="2"/>
  <c r="DP13" i="2"/>
  <c r="LZ13" i="2"/>
  <c r="OS13" i="2"/>
  <c r="KJ13" i="2"/>
  <c r="HE13" i="2"/>
  <c r="HJ13" i="2"/>
  <c r="IJ13" i="2"/>
  <c r="HO13" i="2"/>
  <c r="PW13" i="2"/>
  <c r="EV13" i="2"/>
  <c r="LR13" i="2"/>
  <c r="KP13" i="2"/>
  <c r="KF13" i="2"/>
  <c r="DJ13" i="2"/>
  <c r="CR13" i="2"/>
  <c r="MP13" i="2"/>
  <c r="HN13" i="2"/>
  <c r="MS13" i="2"/>
  <c r="GA13" i="2"/>
  <c r="LE13" i="2"/>
  <c r="EU13" i="2"/>
  <c r="CQ13" i="2"/>
  <c r="OI13" i="2"/>
  <c r="JG13" i="2"/>
  <c r="MC13" i="2"/>
  <c r="LV13" i="2"/>
  <c r="CF13" i="2"/>
  <c r="DH13" i="2"/>
  <c r="DZ13" i="2"/>
  <c r="IB13" i="2"/>
  <c r="KL13" i="2"/>
  <c r="PQ13" i="2"/>
  <c r="MD13" i="2"/>
  <c r="PH13" i="2"/>
  <c r="OK13" i="2"/>
  <c r="GW13" i="2"/>
  <c r="DD13" i="2"/>
  <c r="IG13" i="2"/>
  <c r="KA13" i="2"/>
  <c r="NR13" i="2"/>
  <c r="EN13" i="2"/>
  <c r="QJ13" i="2"/>
  <c r="EM13" i="2"/>
  <c r="FE13" i="2"/>
  <c r="KG13" i="2"/>
  <c r="NA13" i="2"/>
  <c r="PO13" i="2"/>
  <c r="DK13" i="2"/>
  <c r="OY13" i="2"/>
  <c r="IH13" i="2"/>
  <c r="CZ13" i="2"/>
  <c r="EJ13" i="2"/>
  <c r="KN13" i="2"/>
  <c r="PV13" i="2"/>
  <c r="JP13" i="2"/>
  <c r="JT13" i="2"/>
  <c r="FI13" i="2"/>
  <c r="OU13" i="2"/>
  <c r="QH13" i="2"/>
  <c r="LU13" i="2"/>
  <c r="CU13" i="2"/>
  <c r="ME13" i="2"/>
  <c r="MM13" i="2"/>
  <c r="HG13" i="2"/>
  <c r="BY13" i="2"/>
  <c r="DY13" i="2"/>
  <c r="PZ13" i="2"/>
  <c r="PU13" i="2"/>
  <c r="GU13" i="2"/>
  <c r="IX13" i="2"/>
  <c r="KV13" i="2"/>
  <c r="QG13" i="2"/>
  <c r="MZ13" i="2"/>
  <c r="BV13" i="2"/>
  <c r="KY13" i="2"/>
  <c r="LH13" i="2"/>
  <c r="HD13" i="2"/>
  <c r="GG13" i="2"/>
  <c r="EL13" i="2"/>
  <c r="NX13" i="2"/>
  <c r="KQ13" i="2"/>
  <c r="GT13" i="2"/>
  <c r="QA13" i="2"/>
  <c r="PB13" i="2"/>
  <c r="OQ13" i="2"/>
  <c r="NC13" i="2"/>
  <c r="DO13" i="2"/>
  <c r="MN13" i="2"/>
  <c r="MQ13" i="2"/>
  <c r="EW13" i="2"/>
  <c r="HS13" i="2"/>
  <c r="IY13" i="2"/>
  <c r="QD13" i="2"/>
  <c r="CJ13" i="2"/>
  <c r="GZ13" i="2"/>
  <c r="MO13" i="2"/>
  <c r="PG13" i="2"/>
  <c r="CG13" i="2"/>
  <c r="CL13" i="2"/>
  <c r="DF13" i="2"/>
  <c r="OB13" i="2"/>
  <c r="OR13" i="2"/>
  <c r="MA13" i="2"/>
  <c r="ED13" i="2"/>
  <c r="KS13" i="2"/>
  <c r="EE13" i="2"/>
  <c r="KD13" i="2"/>
  <c r="NU13" i="2"/>
  <c r="PJ13" i="2"/>
  <c r="QB13" i="2"/>
  <c r="ES13" i="2"/>
  <c r="IZ13" i="2"/>
  <c r="LO13" i="2"/>
  <c r="IQ13" i="2"/>
  <c r="MT13" i="2"/>
  <c r="LW13" i="2"/>
  <c r="MH13" i="2"/>
  <c r="CN13" i="2"/>
  <c r="JV13" i="2"/>
  <c r="DC13" i="2"/>
  <c r="CD13" i="2"/>
  <c r="OA13" i="2"/>
  <c r="OV13" i="2"/>
  <c r="DL13" i="2"/>
  <c r="EH13" i="2"/>
  <c r="CC13" i="2"/>
  <c r="JD13" i="2"/>
  <c r="CH13" i="2"/>
  <c r="DG13" i="2"/>
  <c r="DT13" i="2"/>
  <c r="LT13" i="2"/>
  <c r="DA13" i="2"/>
  <c r="CO13" i="2"/>
  <c r="LP13" i="2"/>
  <c r="JI13" i="2"/>
  <c r="IK13" i="2"/>
  <c r="EY13" i="2"/>
  <c r="EC13" i="2"/>
  <c r="MB13" i="2"/>
  <c r="BZ13" i="2"/>
  <c r="NZ13" i="2"/>
  <c r="LF13" i="2"/>
  <c r="JX13" i="2"/>
  <c r="JW13" i="2"/>
  <c r="HQ13" i="2"/>
  <c r="GO13" i="2"/>
  <c r="EG13" i="2"/>
  <c r="IA13" i="2"/>
  <c r="KM13" i="2"/>
  <c r="OZ13" i="2"/>
  <c r="FW13" i="2"/>
  <c r="JJ13" i="2"/>
  <c r="NO13" i="2"/>
  <c r="HW13" i="2"/>
  <c r="DV13" i="2"/>
  <c r="GI13" i="2"/>
  <c r="ND13" i="2"/>
  <c r="OO13" i="2"/>
  <c r="GV13" i="2"/>
  <c r="FL13" i="2"/>
  <c r="HU13" i="2"/>
  <c r="FX13" i="2"/>
  <c r="HV13" i="2"/>
  <c r="NL13" i="2"/>
  <c r="KE13" i="2"/>
  <c r="LM13" i="2"/>
  <c r="GR13" i="2"/>
  <c r="HA13" i="2"/>
  <c r="JZ13" i="2"/>
  <c r="FJ13" i="2"/>
  <c r="IF13" i="2"/>
  <c r="MW13" i="2"/>
  <c r="LQ13" i="2"/>
  <c r="BR13" i="2"/>
  <c r="EX13" i="2"/>
  <c r="IC13" i="2"/>
  <c r="IT13" i="2"/>
  <c r="FP13" i="2"/>
  <c r="FF13" i="2"/>
  <c r="MR13" i="2"/>
  <c r="QC13" i="2"/>
  <c r="OP13" i="2"/>
  <c r="GD13" i="2"/>
  <c r="JO13" i="2"/>
  <c r="GC13" i="2"/>
  <c r="JN13" i="2"/>
  <c r="JL13" i="2"/>
  <c r="ON13" i="2"/>
  <c r="OG13" i="2"/>
  <c r="NS13" i="2"/>
  <c r="IW13" i="2"/>
  <c r="EQ13" i="2"/>
  <c r="KH13" i="2"/>
  <c r="GL13" i="2"/>
  <c r="OC13" i="2"/>
  <c r="LC13" i="2"/>
  <c r="OW13" i="2"/>
  <c r="NY13" i="2"/>
  <c r="MK13" i="2"/>
  <c r="FO13" i="2"/>
  <c r="MJ13" i="2"/>
  <c r="LS13" i="2"/>
  <c r="HH13" i="2"/>
  <c r="LL13" i="2"/>
  <c r="OF13" i="2"/>
  <c r="BX13" i="2"/>
  <c r="NJ13" i="2"/>
  <c r="EO13" i="2"/>
  <c r="PR13" i="2"/>
  <c r="FV13" i="2"/>
  <c r="HR13" i="2"/>
  <c r="MV13" i="2"/>
  <c r="LX13" i="2"/>
  <c r="DX13" i="2"/>
  <c r="HX13" i="2"/>
  <c r="EB13" i="2"/>
  <c r="ET13" i="2"/>
  <c r="JR13" i="2"/>
  <c r="ML13" i="2"/>
  <c r="EI13" i="2"/>
  <c r="JY13" i="2"/>
  <c r="OE13" i="2"/>
  <c r="DQ13" i="2"/>
  <c r="LK13" i="2"/>
  <c r="IL13" i="2"/>
  <c r="PL13" i="2"/>
  <c r="KZ13" i="2"/>
  <c r="EK13" i="2"/>
  <c r="AG13" i="2"/>
  <c r="AZ13" i="2"/>
  <c r="AO13" i="2"/>
  <c r="B13" i="2"/>
  <c r="BJ13" i="2"/>
  <c r="BH13" i="2"/>
  <c r="BS13" i="2"/>
  <c r="BL13" i="2"/>
  <c r="BQ13" i="2"/>
  <c r="BI13" i="2"/>
  <c r="BP13" i="2"/>
  <c r="BE13" i="2"/>
  <c r="BK13" i="2"/>
  <c r="BO13" i="2"/>
  <c r="BN13" i="2"/>
  <c r="BU13" i="2"/>
  <c r="BM13" i="2"/>
  <c r="BD13" i="2"/>
  <c r="BT13" i="2"/>
  <c r="BC13" i="2"/>
  <c r="BG13" i="2"/>
  <c r="BF13" i="2"/>
  <c r="J13" i="2"/>
  <c r="V13" i="2"/>
  <c r="AM13" i="2"/>
  <c r="L13" i="1"/>
  <c r="N13" i="1" s="1"/>
  <c r="B11" i="1"/>
  <c r="L15" i="1" s="1"/>
  <c r="N15" i="1" s="1"/>
  <c r="C24" i="1" l="1"/>
  <c r="B8" i="1"/>
  <c r="O13" i="1" l="1"/>
  <c r="Q13" i="1" s="1"/>
  <c r="B9" i="1"/>
  <c r="O31" i="1" s="1"/>
  <c r="D23" i="1"/>
  <c r="E22" i="1" s="1"/>
  <c r="F21" i="1" s="1"/>
  <c r="G20" i="1" s="1"/>
  <c r="H19" i="1" s="1"/>
  <c r="I18" i="1" s="1"/>
  <c r="J17" i="1" s="1"/>
  <c r="K16" i="1" s="1"/>
  <c r="D25" i="1"/>
  <c r="O15" i="1" l="1"/>
  <c r="Q15" i="1" s="1"/>
  <c r="O29" i="1"/>
  <c r="O33" i="1"/>
  <c r="O23" i="1"/>
  <c r="O19" i="1"/>
  <c r="O21" i="1"/>
  <c r="O17" i="1"/>
  <c r="O25" i="1"/>
  <c r="O27" i="1"/>
  <c r="E24" i="1"/>
  <c r="F23" i="1" s="1"/>
  <c r="G22" i="1" s="1"/>
  <c r="H21" i="1" s="1"/>
  <c r="I20" i="1" s="1"/>
  <c r="J19" i="1" s="1"/>
  <c r="K18" i="1" s="1"/>
  <c r="E26" i="1"/>
  <c r="O35" i="1" l="1"/>
  <c r="L17" i="1"/>
  <c r="N17" i="1" s="1"/>
  <c r="Q17" i="1" s="1"/>
  <c r="F25" i="1"/>
  <c r="G24" i="1" s="1"/>
  <c r="H23" i="1" s="1"/>
  <c r="I22" i="1" s="1"/>
  <c r="J21" i="1" s="1"/>
  <c r="K20" i="1" s="1"/>
  <c r="F27" i="1"/>
  <c r="L19" i="1" l="1"/>
  <c r="N19" i="1" s="1"/>
  <c r="Q19" i="1" s="1"/>
  <c r="G26" i="1"/>
  <c r="H25" i="1" s="1"/>
  <c r="I24" i="1" s="1"/>
  <c r="J23" i="1" s="1"/>
  <c r="K22" i="1" s="1"/>
  <c r="G28" i="1"/>
  <c r="L21" i="1" l="1"/>
  <c r="N21" i="1" s="1"/>
  <c r="Q21" i="1" s="1"/>
  <c r="H29" i="1"/>
  <c r="H27" i="1"/>
  <c r="I26" i="1" s="1"/>
  <c r="J25" i="1" s="1"/>
  <c r="K24" i="1" s="1"/>
  <c r="L23" i="1" l="1"/>
  <c r="N23" i="1" s="1"/>
  <c r="Q23" i="1" s="1"/>
  <c r="I28" i="1"/>
  <c r="J27" i="1" s="1"/>
  <c r="K26" i="1" s="1"/>
  <c r="I30" i="1"/>
  <c r="L25" i="1" l="1"/>
  <c r="N25" i="1" s="1"/>
  <c r="Q25" i="1" s="1"/>
  <c r="J29" i="1"/>
  <c r="K28" i="1" s="1"/>
  <c r="J31" i="1"/>
  <c r="L27" i="1" l="1"/>
  <c r="N27" i="1" s="1"/>
  <c r="Q27" i="1" s="1"/>
  <c r="K30" i="1"/>
  <c r="K32" i="1"/>
  <c r="L31" i="1" l="1"/>
  <c r="N31" i="1" s="1"/>
  <c r="Q31" i="1" s="1"/>
  <c r="L33" i="1"/>
  <c r="N33" i="1" s="1"/>
  <c r="Q33" i="1" s="1"/>
  <c r="L29" i="1"/>
  <c r="N29" i="1" s="1"/>
  <c r="Q29" i="1" s="1"/>
  <c r="R35" i="1" l="1"/>
  <c r="R3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<sst xmlns="http://schemas.openxmlformats.org/spreadsheetml/2006/main" count="26" uniqueCount="20">
  <si>
    <t>Strike (K)</t>
  </si>
  <si>
    <t>Spot (S)</t>
  </si>
  <si>
    <t>Maturity (T)</t>
  </si>
  <si>
    <r>
      <t>Volatility 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</rPr>
      <t>)</t>
    </r>
  </si>
  <si>
    <t>Interest rate (r )</t>
  </si>
  <si>
    <t>Principal</t>
  </si>
  <si>
    <t>Prob up (p)</t>
  </si>
  <si>
    <t>Prob down (q)</t>
  </si>
  <si>
    <t>Up (u)</t>
  </si>
  <si>
    <t>Down (d)</t>
  </si>
  <si>
    <t>dt</t>
  </si>
  <si>
    <t>Payout</t>
  </si>
  <si>
    <t>Prob</t>
  </si>
  <si>
    <t>FUTURE VALUE =</t>
  </si>
  <si>
    <t>PRESENT VALUE =</t>
  </si>
  <si>
    <t xml:space="preserve"> </t>
  </si>
  <si>
    <t>BS price:</t>
  </si>
  <si>
    <t>N</t>
  </si>
  <si>
    <t>Val(S, N) - BS value:</t>
  </si>
  <si>
    <t>ΔV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</si>
</sst>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sz val="11"/>
      <color theme="1"/>
      <name val="SimHei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34755030621173"/>
          <c:y val="0.1300462962962963"/>
          <c:w val="0.86649343832020997"/>
          <c:h val="0.6714577865266842"/>
        </c:manualLayout>
      </c:layout>
      <c:lineChart>
        <c:grouping val="standard"/>
        <c:varyColors val="0"/>
        <c:ser>
          <c:idx val="1"/>
          <c:order val="0"/>
          <c:tx>
            <c:v>Errors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Sheet2!$B$13:$AZ$13</c:f>
              <c:numCache>
                <c:formatCode>General</c:formatCode>
                <c:ptCount val="51"/>
                <c:pt idx="0">
                  <c:v>472.68673219467746</c:v>
                </c:pt>
                <c:pt idx="1">
                  <c:v>-357.45634304231498</c:v>
                </c:pt>
                <c:pt idx="2">
                  <c:v>848.7308483752422</c:v>
                </c:pt>
                <c:pt idx="3">
                  <c:v>-960.38917138724355</c:v>
                </c:pt>
                <c:pt idx="4">
                  <c:v>1109.3531689828378</c:v>
                </c:pt>
                <c:pt idx="5">
                  <c:v>-1590.6668039644137</c:v>
                </c:pt>
                <c:pt idx="6">
                  <c:v>1270.9089628976653</c:v>
                </c:pt>
                <c:pt idx="7">
                  <c:v>-2241.8007309751702</c:v>
                </c:pt>
                <c:pt idx="8">
                  <c:v>1347.2387799613643</c:v>
                </c:pt>
                <c:pt idx="9">
                  <c:v>-2908.4656709911651</c:v>
                </c:pt>
                <c:pt idx="10">
                  <c:v>1350.1062078577816</c:v>
                </c:pt>
                <c:pt idx="11">
                  <c:v>-2954.6075605828082</c:v>
                </c:pt>
                <c:pt idx="12">
                  <c:v>1289.5499970483943</c:v>
                </c:pt>
                <c:pt idx="13">
                  <c:v>-2203.6110368437367</c:v>
                </c:pt>
                <c:pt idx="14">
                  <c:v>1174.1691233558813</c:v>
                </c:pt>
                <c:pt idx="15">
                  <c:v>-1560.6142671523266</c:v>
                </c:pt>
                <c:pt idx="16">
                  <c:v>1011.3549516841304</c:v>
                </c:pt>
                <c:pt idx="17">
                  <c:v>-1013.8396659773425</c:v>
                </c:pt>
                <c:pt idx="18">
                  <c:v>807.48138777696295</c:v>
                </c:pt>
                <c:pt idx="19">
                  <c:v>-552.96407577960053</c:v>
                </c:pt>
                <c:pt idx="20">
                  <c:v>568.06145055050729</c:v>
                </c:pt>
                <c:pt idx="21">
                  <c:v>-168.91226521396311</c:v>
                </c:pt>
                <c:pt idx="22">
                  <c:v>297.87684293318307</c:v>
                </c:pt>
                <c:pt idx="23">
                  <c:v>146.31634452886647</c:v>
                </c:pt>
                <c:pt idx="24">
                  <c:v>1.0856861683423631</c:v>
                </c:pt>
                <c:pt idx="25">
                  <c:v>399.79368609702215</c:v>
                </c:pt>
                <c:pt idx="26">
                  <c:v>-318.68750079744495</c:v>
                </c:pt>
                <c:pt idx="27">
                  <c:v>597.78657212958205</c:v>
                </c:pt>
                <c:pt idx="28">
                  <c:v>-658.27633169991896</c:v>
                </c:pt>
                <c:pt idx="29">
                  <c:v>745.86160253209528</c:v>
                </c:pt>
                <c:pt idx="30">
                  <c:v>-1014.9089990090579</c:v>
                </c:pt>
                <c:pt idx="31">
                  <c:v>848.97458522918168</c:v>
                </c:pt>
                <c:pt idx="32">
                  <c:v>-1386.1545502284425</c:v>
                </c:pt>
                <c:pt idx="33">
                  <c:v>911.54702245310182</c:v>
                </c:pt>
                <c:pt idx="34">
                  <c:v>-1769.8773093190393</c:v>
                </c:pt>
                <c:pt idx="35">
                  <c:v>937.53175119229127</c:v>
                </c:pt>
                <c:pt idx="36">
                  <c:v>-2164.1980754954857</c:v>
                </c:pt>
                <c:pt idx="37">
                  <c:v>930.46945574582787</c:v>
                </c:pt>
                <c:pt idx="38">
                  <c:v>-1972.0018982602051</c:v>
                </c:pt>
                <c:pt idx="39">
                  <c:v>893.53746920009144</c:v>
                </c:pt>
                <c:pt idx="40">
                  <c:v>-1545.279050371435</c:v>
                </c:pt>
                <c:pt idx="41">
                  <c:v>829.59203919779975</c:v>
                </c:pt>
                <c:pt idx="42">
                  <c:v>-1167.2992617659038</c:v>
                </c:pt>
                <c:pt idx="43">
                  <c:v>741.20503592171008</c:v>
                </c:pt>
                <c:pt idx="44">
                  <c:v>-834.20175681484398</c:v>
                </c:pt>
                <c:pt idx="45">
                  <c:v>630.69591765740188</c:v>
                </c:pt>
                <c:pt idx="46">
                  <c:v>-542.47121417347807</c:v>
                </c:pt>
                <c:pt idx="47">
                  <c:v>500.15963905869285</c:v>
                </c:pt>
                <c:pt idx="48">
                  <c:v>-288.90209053095896</c:v>
                </c:pt>
                <c:pt idx="49">
                  <c:v>351.49107664119219</c:v>
                </c:pt>
                <c:pt idx="50">
                  <c:v>-70.567141199193429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E-4495-ABD8-49B34452C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84128"/>
        <c:axId val="793283168"/>
      </c:lineChart>
      <c:catAx>
        <c:axId val="79328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83168"/>
        <c:crosses val="autoZero"/>
        <c:auto val="1"/>
        <c:lblAlgn val="ctr"/>
        <c:lblOffset val="100"/>
        <c:noMultiLvlLbl val="0"/>
      </c:catAx>
      <c:valAx>
        <c:axId val="79328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8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34755030621173"/>
          <c:y val="0.1300462962962963"/>
          <c:w val="0.86649343832020997"/>
          <c:h val="0.6714577865266842"/>
        </c:manualLayout>
      </c:layout>
      <c:lineChart>
        <c:grouping val="standard"/>
        <c:varyColors val="0"/>
        <c:ser>
          <c:idx val="1"/>
          <c:order val="0"/>
          <c:tx>
            <c:v>Errors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Sheet2!$B$13:$QJ$13</c:f>
              <c:numCache>
                <c:formatCode>General</c:formatCode>
                <c:ptCount val="451"/>
                <c:pt idx="0">
                  <c:v>472.68673219467746</c:v>
                </c:pt>
                <c:pt idx="1">
                  <c:v>-357.45634304231498</c:v>
                </c:pt>
                <c:pt idx="2">
                  <c:v>848.7308483752422</c:v>
                </c:pt>
                <c:pt idx="3">
                  <c:v>-960.38917138724355</c:v>
                </c:pt>
                <c:pt idx="4">
                  <c:v>1109.3531689828378</c:v>
                </c:pt>
                <c:pt idx="5">
                  <c:v>-1590.6668039644137</c:v>
                </c:pt>
                <c:pt idx="6">
                  <c:v>1270.9089628976653</c:v>
                </c:pt>
                <c:pt idx="7">
                  <c:v>-2241.8007309751702</c:v>
                </c:pt>
                <c:pt idx="8">
                  <c:v>1347.2387799613643</c:v>
                </c:pt>
                <c:pt idx="9">
                  <c:v>-2908.4656709911651</c:v>
                </c:pt>
                <c:pt idx="10">
                  <c:v>1350.1062078577816</c:v>
                </c:pt>
                <c:pt idx="11">
                  <c:v>-2954.6075605828082</c:v>
                </c:pt>
                <c:pt idx="12">
                  <c:v>1289.5499970483943</c:v>
                </c:pt>
                <c:pt idx="13">
                  <c:v>-2203.6110368437367</c:v>
                </c:pt>
                <c:pt idx="14">
                  <c:v>1174.1691233558813</c:v>
                </c:pt>
                <c:pt idx="15">
                  <c:v>-1560.6142671523266</c:v>
                </c:pt>
                <c:pt idx="16">
                  <c:v>1011.3549516841304</c:v>
                </c:pt>
                <c:pt idx="17">
                  <c:v>-1013.8396659773425</c:v>
                </c:pt>
                <c:pt idx="18">
                  <c:v>807.48138777696295</c:v>
                </c:pt>
                <c:pt idx="19">
                  <c:v>-552.96407577960053</c:v>
                </c:pt>
                <c:pt idx="20">
                  <c:v>568.06145055050729</c:v>
                </c:pt>
                <c:pt idx="21">
                  <c:v>-168.91226521396311</c:v>
                </c:pt>
                <c:pt idx="22">
                  <c:v>297.87684293318307</c:v>
                </c:pt>
                <c:pt idx="23">
                  <c:v>146.31634452886647</c:v>
                </c:pt>
                <c:pt idx="24">
                  <c:v>1.0856861683423631</c:v>
                </c:pt>
                <c:pt idx="25">
                  <c:v>399.79368609702215</c:v>
                </c:pt>
                <c:pt idx="26">
                  <c:v>-318.68750079744495</c:v>
                </c:pt>
                <c:pt idx="27">
                  <c:v>597.78657212958205</c:v>
                </c:pt>
                <c:pt idx="28">
                  <c:v>-658.27633169991896</c:v>
                </c:pt>
                <c:pt idx="29">
                  <c:v>745.86160253209528</c:v>
                </c:pt>
                <c:pt idx="30">
                  <c:v>-1014.9089990090579</c:v>
                </c:pt>
                <c:pt idx="31">
                  <c:v>848.97458522918168</c:v>
                </c:pt>
                <c:pt idx="32">
                  <c:v>-1386.1545502284425</c:v>
                </c:pt>
                <c:pt idx="33">
                  <c:v>911.54702245310182</c:v>
                </c:pt>
                <c:pt idx="34">
                  <c:v>-1769.8773093190393</c:v>
                </c:pt>
                <c:pt idx="35">
                  <c:v>937.53175119229127</c:v>
                </c:pt>
                <c:pt idx="36">
                  <c:v>-2164.1980754954857</c:v>
                </c:pt>
                <c:pt idx="37">
                  <c:v>930.46945574582787</c:v>
                </c:pt>
                <c:pt idx="38">
                  <c:v>-1972.0018982602051</c:v>
                </c:pt>
                <c:pt idx="39">
                  <c:v>893.53746920009144</c:v>
                </c:pt>
                <c:pt idx="40">
                  <c:v>-1545.279050371435</c:v>
                </c:pt>
                <c:pt idx="41">
                  <c:v>829.59203919779975</c:v>
                </c:pt>
                <c:pt idx="42">
                  <c:v>-1167.2992617659038</c:v>
                </c:pt>
                <c:pt idx="43">
                  <c:v>741.20503592171008</c:v>
                </c:pt>
                <c:pt idx="44">
                  <c:v>-834.20175681484398</c:v>
                </c:pt>
                <c:pt idx="45">
                  <c:v>630.69591765740188</c:v>
                </c:pt>
                <c:pt idx="46">
                  <c:v>-542.47121417347807</c:v>
                </c:pt>
                <c:pt idx="47">
                  <c:v>500.15963905869285</c:v>
                </c:pt>
                <c:pt idx="48">
                  <c:v>-288.90209053095896</c:v>
                </c:pt>
                <c:pt idx="49">
                  <c:v>351.49107664119219</c:v>
                </c:pt>
                <c:pt idx="50">
                  <c:v>-70.567141199193429</c:v>
                </c:pt>
                <c:pt idx="51">
                  <c:v>186.4064569924376</c:v>
                </c:pt>
                <c:pt idx="52">
                  <c:v>115.21041538077407</c:v>
                </c:pt>
                <c:pt idx="53">
                  <c:v>6.4621982292155735</c:v>
                </c:pt>
                <c:pt idx="54">
                  <c:v>270.88156221271493</c:v>
                </c:pt>
                <c:pt idx="55">
                  <c:v>-186.92848634702386</c:v>
                </c:pt>
                <c:pt idx="56">
                  <c:v>398.69338270474691</c:v>
                </c:pt>
                <c:pt idx="57">
                  <c:v>-392.4809265313088</c:v>
                </c:pt>
                <c:pt idx="58">
                  <c:v>500.70854168245569</c:v>
                </c:pt>
                <c:pt idx="59">
                  <c:v>-609.02602107007988</c:v>
                </c:pt>
                <c:pt idx="60">
                  <c:v>578.82264774065698</c:v>
                </c:pt>
                <c:pt idx="61">
                  <c:v>-835.49873499450041</c:v>
                </c:pt>
                <c:pt idx="62">
                  <c:v>634.77975604357198</c:v>
                </c:pt>
                <c:pt idx="63">
                  <c:v>-1070.9278822380584</c:v>
                </c:pt>
                <c:pt idx="64">
                  <c:v>670.1862339200452</c:v>
                </c:pt>
                <c:pt idx="65">
                  <c:v>-1314.427033011918</c:v>
                </c:pt>
                <c:pt idx="66">
                  <c:v>686.52318450290477</c:v>
                </c:pt>
                <c:pt idx="67">
                  <c:v>-1565.1864086111891</c:v>
                </c:pt>
                <c:pt idx="68">
                  <c:v>685.15759537351551</c:v>
                </c:pt>
                <c:pt idx="69">
                  <c:v>-1524.1668254570104</c:v>
                </c:pt>
                <c:pt idx="70">
                  <c:v>667.3523601530469</c:v>
                </c:pt>
                <c:pt idx="71">
                  <c:v>-1248.0954439023044</c:v>
                </c:pt>
                <c:pt idx="72">
                  <c:v>634.27529983839486</c:v>
                </c:pt>
                <c:pt idx="73">
                  <c:v>-997.66602895222604</c:v>
                </c:pt>
                <c:pt idx="74">
                  <c:v>587.00729699467774</c:v>
                </c:pt>
                <c:pt idx="75">
                  <c:v>-771.33292325108778</c:v>
                </c:pt>
                <c:pt idx="76">
                  <c:v>526.54963921383023</c:v>
                </c:pt>
                <c:pt idx="77">
                  <c:v>-567.65553325868677</c:v>
                </c:pt>
                <c:pt idx="78">
                  <c:v>453.83065972197801</c:v>
                </c:pt>
                <c:pt idx="79">
                  <c:v>-385.29006734443828</c:v>
                </c:pt>
                <c:pt idx="80">
                  <c:v>369.71174889226677</c:v>
                </c:pt>
                <c:pt idx="81">
                  <c:v>-222.98201525490731</c:v>
                </c:pt>
                <c:pt idx="82">
                  <c:v>274.99280525546055</c:v>
                </c:pt>
                <c:pt idx="83">
                  <c:v>-79.559296349296346</c:v>
                </c:pt>
                <c:pt idx="84">
                  <c:v>170.41718286799733</c:v>
                </c:pt>
                <c:pt idx="85">
                  <c:v>46.073991953628138</c:v>
                </c:pt>
                <c:pt idx="86">
                  <c:v>56.676188396930229</c:v>
                </c:pt>
                <c:pt idx="87">
                  <c:v>154.94328431523172</c:v>
                </c:pt>
                <c:pt idx="88">
                  <c:v>-65.586826279875822</c:v>
                </c:pt>
                <c:pt idx="89">
                  <c:v>248.00876804662403</c:v>
                </c:pt>
                <c:pt idx="90">
                  <c:v>-195.77273594442522</c:v>
                </c:pt>
                <c:pt idx="91">
                  <c:v>326.17016243666876</c:v>
                </c:pt>
                <c:pt idx="92">
                  <c:v>-333.32324108574539</c:v>
                </c:pt>
                <c:pt idx="93">
                  <c:v>390.27109858405311</c:v>
                </c:pt>
                <c:pt idx="94">
                  <c:v>-477.7177624044125</c:v>
                </c:pt>
                <c:pt idx="95">
                  <c:v>441.10313688119641</c:v>
                </c:pt>
                <c:pt idx="96">
                  <c:v>-628.47060216061072</c:v>
                </c:pt>
                <c:pt idx="97">
                  <c:v>479.4094559091609</c:v>
                </c:pt>
                <c:pt idx="98">
                  <c:v>-785.1283460323466</c:v>
                </c:pt>
                <c:pt idx="99">
                  <c:v>505.88824396807468</c:v>
                </c:pt>
                <c:pt idx="100">
                  <c:v>-947.26748378202319</c:v>
                </c:pt>
                <c:pt idx="101">
                  <c:v>521.19581845903303</c:v>
                </c:pt>
                <c:pt idx="102">
                  <c:v>-1114.4922268904629</c:v>
                </c:pt>
                <c:pt idx="103">
                  <c:v>525.94949948688736</c:v>
                </c:pt>
                <c:pt idx="104">
                  <c:v>-1286.4325055048685</c:v>
                </c:pt>
                <c:pt idx="105">
                  <c:v>520.73025860096095</c:v>
                </c:pt>
                <c:pt idx="106">
                  <c:v>-1096.915793328546</c:v>
                </c:pt>
                <c:pt idx="107">
                  <c:v>506.08516186167253</c:v>
                </c:pt>
                <c:pt idx="108">
                  <c:v>-917.44629271753365</c:v>
                </c:pt>
                <c:pt idx="109">
                  <c:v>482.52962685597595</c:v>
                </c:pt>
                <c:pt idx="110">
                  <c:v>-752.19834643328795</c:v>
                </c:pt>
                <c:pt idx="111">
                  <c:v>450.5495078341919</c:v>
                </c:pt>
                <c:pt idx="112">
                  <c:v>-600.50115805718815</c:v>
                </c:pt>
                <c:pt idx="113">
                  <c:v>410.6030250757467</c:v>
                </c:pt>
                <c:pt idx="114">
                  <c:v>-461.71947010722943</c:v>
                </c:pt>
                <c:pt idx="115">
                  <c:v>363.12255060364259</c:v>
                </c:pt>
                <c:pt idx="116">
                  <c:v>-335.25138300855178</c:v>
                </c:pt>
                <c:pt idx="117">
                  <c:v>308.51626288314583</c:v>
                </c:pt>
                <c:pt idx="118">
                  <c:v>-220.52632831956726</c:v>
                </c:pt>
                <c:pt idx="119">
                  <c:v>247.16968111146707</c:v>
                </c:pt>
                <c:pt idx="120">
                  <c:v>-117.00318215508014</c:v>
                </c:pt>
                <c:pt idx="121">
                  <c:v>179.44708852865733</c:v>
                </c:pt>
                <c:pt idx="122">
                  <c:v>-24.168509388458915</c:v>
                </c:pt>
                <c:pt idx="123">
                  <c:v>105.69285484473221</c:v>
                </c:pt>
                <c:pt idx="124">
                  <c:v>58.465073039755225</c:v>
                </c:pt>
                <c:pt idx="125">
                  <c:v>26.232664773939177</c:v>
                </c:pt>
                <c:pt idx="126">
                  <c:v>131.36042117816396</c:v>
                </c:pt>
                <c:pt idx="127">
                  <c:v>-58.62533958198037</c:v>
                </c:pt>
                <c:pt idx="128">
                  <c:v>194.95728805701947</c:v>
                </c:pt>
                <c:pt idx="129">
                  <c:v>-148.58949515456334</c:v>
                </c:pt>
                <c:pt idx="130">
                  <c:v>249.67365199705819</c:v>
                </c:pt>
                <c:pt idx="131">
                  <c:v>-243.38362773356494</c:v>
                </c:pt>
                <c:pt idx="132">
                  <c:v>295.90695830009645</c:v>
                </c:pt>
                <c:pt idx="133">
                  <c:v>-342.74612939573126</c:v>
                </c:pt>
                <c:pt idx="134">
                  <c:v>334.03527976188343</c:v>
                </c:pt>
                <c:pt idx="135">
                  <c:v>-446.42909756448353</c:v>
                </c:pt>
                <c:pt idx="136">
                  <c:v>364.4184021622641</c:v>
                </c:pt>
                <c:pt idx="137">
                  <c:v>-554.1975322086364</c:v>
                </c:pt>
                <c:pt idx="138">
                  <c:v>387.39884012797847</c:v>
                </c:pt>
                <c:pt idx="139">
                  <c:v>-665.8285860644537</c:v>
                </c:pt>
                <c:pt idx="140">
                  <c:v>403.30278873920906</c:v>
                </c:pt>
                <c:pt idx="141">
                  <c:v>-781.11086420161882</c:v>
                </c:pt>
                <c:pt idx="142">
                  <c:v>412.44101486599538</c:v>
                </c:pt>
                <c:pt idx="143">
                  <c:v>-899.84376908594277</c:v>
                </c:pt>
                <c:pt idx="144">
                  <c:v>415.10969356284477</c:v>
                </c:pt>
                <c:pt idx="145">
                  <c:v>-1013.7954877294833</c:v>
                </c:pt>
                <c:pt idx="146">
                  <c:v>411.59119188413024</c:v>
                </c:pt>
                <c:pt idx="147">
                  <c:v>-877.96357214369345</c:v>
                </c:pt>
                <c:pt idx="148">
                  <c:v>402.15480536717223</c:v>
                </c:pt>
                <c:pt idx="149">
                  <c:v>-751.11884827347239</c:v>
                </c:pt>
                <c:pt idx="150">
                  <c:v>387.05744881997816</c:v>
                </c:pt>
                <c:pt idx="151">
                  <c:v>-632.91818998329109</c:v>
                </c:pt>
                <c:pt idx="152">
                  <c:v>366.5443067146698</c:v>
                </c:pt>
                <c:pt idx="153">
                  <c:v>-523.03318029240472</c:v>
                </c:pt>
                <c:pt idx="154">
                  <c:v>340.84944322670344</c:v>
                </c:pt>
                <c:pt idx="155">
                  <c:v>-421.14937989664031</c:v>
                </c:pt>
                <c:pt idx="156">
                  <c:v>310.19637705158675</c:v>
                </c:pt>
                <c:pt idx="157">
                  <c:v>-326.9656376769999</c:v>
                </c:pt>
                <c:pt idx="158">
                  <c:v>274.79862203012453</c:v>
                </c:pt>
                <c:pt idx="159">
                  <c:v>-240.19344066688791</c:v>
                </c:pt>
                <c:pt idx="160">
                  <c:v>234.86019625270274</c:v>
                </c:pt>
                <c:pt idx="161">
                  <c:v>-160.55629963503452</c:v>
                </c:pt>
                <c:pt idx="162">
                  <c:v>190.57610155444127</c:v>
                </c:pt>
                <c:pt idx="163">
                  <c:v>-87.7891696098377</c:v>
                </c:pt>
                <c:pt idx="164">
                  <c:v>142.13277560222195</c:v>
                </c:pt>
                <c:pt idx="165">
                  <c:v>-21.63790227053687</c:v>
                </c:pt>
                <c:pt idx="166">
                  <c:v>89.708517972845584</c:v>
                </c:pt>
                <c:pt idx="167">
                  <c:v>38.141271726984996</c:v>
                </c:pt>
                <c:pt idx="168">
                  <c:v>33.473892341600731</c:v>
                </c:pt>
                <c:pt idx="169">
                  <c:v>91.782232674537227</c:v>
                </c:pt>
                <c:pt idx="170">
                  <c:v>-26.407894061878324</c:v>
                </c:pt>
                <c:pt idx="171">
                  <c:v>139.50943408085732</c:v>
                </c:pt>
                <c:pt idx="172">
                  <c:v>-89.780632276262622</c:v>
                </c:pt>
                <c:pt idx="173">
                  <c:v>181.53834133880446</c:v>
                </c:pt>
                <c:pt idx="174">
                  <c:v>-156.49477291904623</c:v>
                </c:pt>
                <c:pt idx="175">
                  <c:v>218.07584630587371</c:v>
                </c:pt>
                <c:pt idx="176">
                  <c:v>-226.40710664913058</c:v>
                </c:pt>
                <c:pt idx="177">
                  <c:v>249.32066043076338</c:v>
                </c:pt>
                <c:pt idx="178">
                  <c:v>-299.38046122749802</c:v>
                </c:pt>
                <c:pt idx="179">
                  <c:v>275.46368687856011</c:v>
                </c:pt>
                <c:pt idx="180">
                  <c:v>-375.28341592435027</c:v>
                </c:pt>
                <c:pt idx="181">
                  <c:v>296.68837374768918</c:v>
                </c:pt>
                <c:pt idx="182">
                  <c:v>-453.99003065319266</c:v>
                </c:pt>
                <c:pt idx="183">
                  <c:v>313.17104822589317</c:v>
                </c:pt>
                <c:pt idx="184">
                  <c:v>-535.3795897650416</c:v>
                </c:pt>
                <c:pt idx="185">
                  <c:v>325.08123443176737</c:v>
                </c:pt>
                <c:pt idx="186">
                  <c:v>-619.33635943452828</c:v>
                </c:pt>
                <c:pt idx="187">
                  <c:v>332.58195439254632</c:v>
                </c:pt>
                <c:pt idx="188">
                  <c:v>-705.74935785471462</c:v>
                </c:pt>
                <c:pt idx="189">
                  <c:v>335.83001451572636</c:v>
                </c:pt>
                <c:pt idx="190">
                  <c:v>-794.51213722676039</c:v>
                </c:pt>
                <c:pt idx="191">
                  <c:v>334.97627677401761</c:v>
                </c:pt>
                <c:pt idx="192">
                  <c:v>-757.82990544015775</c:v>
                </c:pt>
                <c:pt idx="193">
                  <c:v>330.1659167247708</c:v>
                </c:pt>
                <c:pt idx="194">
                  <c:v>-662.63846973568434</c:v>
                </c:pt>
                <c:pt idx="195">
                  <c:v>321.53866908408236</c:v>
                </c:pt>
                <c:pt idx="196">
                  <c:v>-573.05780641967431</c:v>
                </c:pt>
                <c:pt idx="197">
                  <c:v>309.22906095715007</c:v>
                </c:pt>
                <c:pt idx="198">
                  <c:v>-488.91231851576595</c:v>
                </c:pt>
                <c:pt idx="199">
                  <c:v>293.36663299769862</c:v>
                </c:pt>
                <c:pt idx="200">
                  <c:v>-410.03255412977887</c:v>
                </c:pt>
                <c:pt idx="201">
                  <c:v>274.07615088240709</c:v>
                </c:pt>
                <c:pt idx="202">
                  <c:v>-336.25495748757385</c:v>
                </c:pt>
                <c:pt idx="203">
                  <c:v>251.47780605696607</c:v>
                </c:pt>
                <c:pt idx="204">
                  <c:v>-267.4216307667084</c:v>
                </c:pt>
                <c:pt idx="205">
                  <c:v>225.68740672449348</c:v>
                </c:pt>
                <c:pt idx="206">
                  <c:v>-203.38010730315</c:v>
                </c:pt>
                <c:pt idx="207">
                  <c:v>196.81655984156532</c:v>
                </c:pt>
                <c:pt idx="208">
                  <c:v>-143.98313583846902</c:v>
                </c:pt>
                <c:pt idx="209">
                  <c:v>164.9728445330984</c:v>
                </c:pt>
                <c:pt idx="210">
                  <c:v>-89.088473474315833</c:v>
                </c:pt>
                <c:pt idx="211">
                  <c:v>130.2599776663119</c:v>
                </c:pt>
                <c:pt idx="212">
                  <c:v>-38.558688871271443</c:v>
                </c:pt>
                <c:pt idx="213">
                  <c:v>92.777970770956017</c:v>
                </c:pt>
                <c:pt idx="214">
                  <c:v>7.7390259042731486</c:v>
                </c:pt>
                <c:pt idx="215">
                  <c:v>52.623280689236708</c:v>
                </c:pt>
                <c:pt idx="216">
                  <c:v>49.933034918678459</c:v>
                </c:pt>
                <c:pt idx="217">
                  <c:v>9.8889526705606841</c:v>
                </c:pt>
                <c:pt idx="218">
                  <c:v>88.147430541459471</c:v>
                </c:pt>
                <c:pt idx="219">
                  <c:v>-35.335242759960238</c:v>
                </c:pt>
                <c:pt idx="220">
                  <c:v>122.50219700060552</c:v>
                </c:pt>
                <c:pt idx="221">
                  <c:v>-82.96267992554931</c:v>
                </c:pt>
                <c:pt idx="222">
                  <c:v>153.11336784693412</c:v>
                </c:pt>
                <c:pt idx="223">
                  <c:v>-132.90975302382139</c:v>
                </c:pt>
                <c:pt idx="224">
                  <c:v>180.09317506663501</c:v>
                </c:pt>
                <c:pt idx="225">
                  <c:v>-185.09575687500183</c:v>
                </c:pt>
                <c:pt idx="226">
                  <c:v>203.55019366106717</c:v>
                </c:pt>
                <c:pt idx="227">
                  <c:v>-239.44277406757465</c:v>
                </c:pt>
                <c:pt idx="228">
                  <c:v>223.58947789319791</c:v>
                </c:pt>
                <c:pt idx="229">
                  <c:v>-295.875566279341</c:v>
                </c:pt>
                <c:pt idx="230">
                  <c:v>240.31269335019169</c:v>
                </c:pt>
                <c:pt idx="231">
                  <c:v>-354.32146997615928</c:v>
                </c:pt>
                <c:pt idx="232">
                  <c:v>253.81824239320122</c:v>
                </c:pt>
                <c:pt idx="233">
                  <c:v>-414.7102980093332</c:v>
                </c:pt>
                <c:pt idx="234">
                  <c:v>264.20138454186963</c:v>
                </c:pt>
                <c:pt idx="235">
                  <c:v>-476.97424410830718</c:v>
                </c:pt>
                <c:pt idx="236">
                  <c:v>271.55435179738561</c:v>
                </c:pt>
                <c:pt idx="237">
                  <c:v>-541.04779287264682</c:v>
                </c:pt>
                <c:pt idx="238">
                  <c:v>275.96645935095148</c:v>
                </c:pt>
                <c:pt idx="239">
                  <c:v>-606.8676323335385</c:v>
                </c:pt>
                <c:pt idx="240">
                  <c:v>277.52421085390961</c:v>
                </c:pt>
                <c:pt idx="241">
                  <c:v>-674.37257135531399</c:v>
                </c:pt>
                <c:pt idx="242">
                  <c:v>276.31140086526284</c:v>
                </c:pt>
                <c:pt idx="243">
                  <c:v>-614.56547989568207</c:v>
                </c:pt>
                <c:pt idx="244">
                  <c:v>272.40921095333761</c:v>
                </c:pt>
                <c:pt idx="245">
                  <c:v>-543.71583989873761</c:v>
                </c:pt>
                <c:pt idx="246">
                  <c:v>265.89630368811777</c:v>
                </c:pt>
                <c:pt idx="247">
                  <c:v>-476.5923473337316</c:v>
                </c:pt>
                <c:pt idx="248">
                  <c:v>256.8489122671308</c:v>
                </c:pt>
                <c:pt idx="249">
                  <c:v>-413.09751171967946</c:v>
                </c:pt>
                <c:pt idx="250">
                  <c:v>245.34092558198608</c:v>
                </c:pt>
                <c:pt idx="251">
                  <c:v>-353.13668634026544</c:v>
                </c:pt>
                <c:pt idx="252">
                  <c:v>231.44397136813495</c:v>
                </c:pt>
                <c:pt idx="253">
                  <c:v>-296.61797261063475</c:v>
                </c:pt>
                <c:pt idx="254">
                  <c:v>215.22749458241742</c:v>
                </c:pt>
                <c:pt idx="255">
                  <c:v>-243.45212724932935</c:v>
                </c:pt>
                <c:pt idx="256">
                  <c:v>196.75883416313445</c:v>
                </c:pt>
                <c:pt idx="257">
                  <c:v>-193.55247342941584</c:v>
                </c:pt>
                <c:pt idx="258">
                  <c:v>176.10329485643888</c:v>
                </c:pt>
                <c:pt idx="259">
                  <c:v>-146.83481556613697</c:v>
                </c:pt>
                <c:pt idx="260">
                  <c:v>153.32421808951767</c:v>
                </c:pt>
                <c:pt idx="261">
                  <c:v>-103.21735662815627</c:v>
                </c:pt>
                <c:pt idx="262">
                  <c:v>128.48304860258941</c:v>
                </c:pt>
                <c:pt idx="263">
                  <c:v>-62.62061942537548</c:v>
                </c:pt>
                <c:pt idx="264">
                  <c:v>101.63939984951867</c:v>
                </c:pt>
                <c:pt idx="265">
                  <c:v>-24.967370506725274</c:v>
                </c:pt>
                <c:pt idx="266">
                  <c:v>72.851114868477453</c:v>
                </c:pt>
                <c:pt idx="267">
                  <c:v>9.8174531310796738</c:v>
                </c:pt>
                <c:pt idx="268">
                  <c:v>42.174327458196785</c:v>
                </c:pt>
                <c:pt idx="269">
                  <c:v>41.806814775394741</c:v>
                </c:pt>
                <c:pt idx="270">
                  <c:v>9.6635184332844801</c:v>
                </c:pt>
                <c:pt idx="271">
                  <c:v>71.071645365213044</c:v>
                </c:pt>
                <c:pt idx="272">
                  <c:v>-24.628428785130382</c:v>
                </c:pt>
                <c:pt idx="273">
                  <c:v>97.680909307615366</c:v>
                </c:pt>
                <c:pt idx="274">
                  <c:v>-60.650174697395414</c:v>
                </c:pt>
                <c:pt idx="275">
                  <c:v>121.7016669473378</c:v>
                </c:pt>
                <c:pt idx="276">
                  <c:v>-98.351873332576361</c:v>
                </c:pt>
                <c:pt idx="277">
                  <c:v>143.19913547096075</c:v>
                </c:pt>
                <c:pt idx="278">
                  <c:v>-137.6851224686834</c:v>
                </c:pt>
                <c:pt idx="279">
                  <c:v>162.23674740886781</c:v>
                </c:pt>
                <c:pt idx="280">
                  <c:v>-178.60291668551508</c:v>
                </c:pt>
                <c:pt idx="281">
                  <c:v>178.87620654318016</c:v>
                </c:pt>
                <c:pt idx="282">
                  <c:v>-221.05960182391573</c:v>
                </c:pt>
                <c:pt idx="283">
                  <c:v>193.17754222539952</c:v>
                </c:pt>
                <c:pt idx="284">
                  <c:v>-265.01083038432989</c:v>
                </c:pt>
                <c:pt idx="285">
                  <c:v>205.19916244037449</c:v>
                </c:pt>
                <c:pt idx="286">
                  <c:v>-310.413520815433</c:v>
                </c:pt>
                <c:pt idx="287">
                  <c:v>214.99790277355351</c:v>
                </c:pt>
                <c:pt idx="288">
                  <c:v>-357.22581507870927</c:v>
                </c:pt>
                <c:pt idx="289">
                  <c:v>222.62907632952556</c:v>
                </c:pt>
                <c:pt idx="290">
                  <c:v>-405.40704069542699</c:v>
                </c:pt>
                <c:pt idx="291">
                  <c:v>228.14652027259581</c:v>
                </c:pt>
                <c:pt idx="292">
                  <c:v>-454.9176723890123</c:v>
                </c:pt>
                <c:pt idx="293">
                  <c:v>231.60264050390106</c:v>
                </c:pt>
                <c:pt idx="294">
                  <c:v>-505.71929582918528</c:v>
                </c:pt>
                <c:pt idx="295">
                  <c:v>233.0484558683238</c:v>
                </c:pt>
                <c:pt idx="296">
                  <c:v>-557.77457267482532</c:v>
                </c:pt>
                <c:pt idx="297">
                  <c:v>232.53364077885635</c:v>
                </c:pt>
                <c:pt idx="298">
                  <c:v>-531.08462320268154</c:v>
                </c:pt>
                <c:pt idx="299">
                  <c:v>230.10656430339441</c:v>
                </c:pt>
                <c:pt idx="300">
                  <c:v>-475.8656430739793</c:v>
                </c:pt>
                <c:pt idx="301">
                  <c:v>225.81433134304825</c:v>
                </c:pt>
                <c:pt idx="302">
                  <c:v>-423.2395622729091</c:v>
                </c:pt>
                <c:pt idx="303">
                  <c:v>219.70281876262743</c:v>
                </c:pt>
                <c:pt idx="304">
                  <c:v>-373.14876233844552</c:v>
                </c:pt>
                <c:pt idx="305">
                  <c:v>211.8167135361582</c:v>
                </c:pt>
                <c:pt idx="306">
                  <c:v>-325.53704922529869</c:v>
                </c:pt>
                <c:pt idx="307">
                  <c:v>202.19954692787724</c:v>
                </c:pt>
                <c:pt idx="308">
                  <c:v>-280.34961301862495</c:v>
                </c:pt>
                <c:pt idx="309">
                  <c:v>190.89372928562807</c:v>
                </c:pt>
                <c:pt idx="310">
                  <c:v>-237.53298771713162</c:v>
                </c:pt>
                <c:pt idx="311">
                  <c:v>177.94058296032017</c:v>
                </c:pt>
                <c:pt idx="312">
                  <c:v>-197.03501455893274</c:v>
                </c:pt>
                <c:pt idx="313">
                  <c:v>163.38037390983663</c:v>
                </c:pt>
                <c:pt idx="314">
                  <c:v>-158.80480277858442</c:v>
                </c:pt>
                <c:pt idx="315">
                  <c:v>147.25234273838578</c:v>
                </c:pt>
                <c:pt idx="316">
                  <c:v>-122.79269616334932</c:v>
                </c:pt>
                <c:pt idx="317">
                  <c:v>129.59473458642606</c:v>
                </c:pt>
                <c:pt idx="318">
                  <c:v>-88.950236671138555</c:v>
                </c:pt>
                <c:pt idx="319">
                  <c:v>110.44482757832156</c:v>
                </c:pt>
                <c:pt idx="320">
                  <c:v>-57.230131788935978</c:v>
                </c:pt>
                <c:pt idx="321">
                  <c:v>89.838961312081665</c:v>
                </c:pt>
                <c:pt idx="322">
                  <c:v>-27.586222291749436</c:v>
                </c:pt>
                <c:pt idx="323">
                  <c:v>67.812563035287894</c:v>
                </c:pt>
                <c:pt idx="324">
                  <c:v>2.6549923000857234E-2</c:v>
                </c:pt>
                <c:pt idx="325">
                  <c:v>44.400173832545988</c:v>
                </c:pt>
                <c:pt idx="326">
                  <c:v>25.6521714188857</c:v>
                </c:pt>
                <c:pt idx="327">
                  <c:v>19.635474831389729</c:v>
                </c:pt>
                <c:pt idx="328">
                  <c:v>49.333587180299219</c:v>
                </c:pt>
                <c:pt idx="329">
                  <c:v>-6.4486901669297367</c:v>
                </c:pt>
                <c:pt idx="330">
                  <c:v>71.112729004235007</c:v>
                </c:pt>
                <c:pt idx="331">
                  <c:v>-33.820289714785758</c:v>
                </c:pt>
                <c:pt idx="332">
                  <c:v>91.030542540829629</c:v>
                </c:pt>
                <c:pt idx="333">
                  <c:v>-62.4480819524033</c:v>
                </c:pt>
                <c:pt idx="334">
                  <c:v>109.12701478984673</c:v>
                </c:pt>
                <c:pt idx="335">
                  <c:v>-92.301593416370451</c:v>
                </c:pt>
                <c:pt idx="336">
                  <c:v>125.44120001496049</c:v>
                </c:pt>
                <c:pt idx="337">
                  <c:v>-123.35109673481202</c:v>
                </c:pt>
                <c:pt idx="338">
                  <c:v>140.01124377571978</c:v>
                </c:pt>
                <c:pt idx="339">
                  <c:v>-155.56759065960068</c:v>
                </c:pt>
                <c:pt idx="340">
                  <c:v>152.87440868874546</c:v>
                </c:pt>
                <c:pt idx="341">
                  <c:v>-188.92277914722217</c:v>
                </c:pt>
                <c:pt idx="342">
                  <c:v>164.06709674623562</c:v>
                </c:pt>
                <c:pt idx="343">
                  <c:v>-223.38905286270892</c:v>
                </c:pt>
                <c:pt idx="344">
                  <c:v>173.62487343186513</c:v>
                </c:pt>
                <c:pt idx="345">
                  <c:v>-258.93946934945416</c:v>
                </c:pt>
                <c:pt idx="346">
                  <c:v>181.58248859253945</c:v>
                </c:pt>
                <c:pt idx="347">
                  <c:v>-295.54773581225891</c:v>
                </c:pt>
                <c:pt idx="348">
                  <c:v>187.97389853035565</c:v>
                </c:pt>
                <c:pt idx="349">
                  <c:v>-333.18819084903225</c:v>
                </c:pt>
                <c:pt idx="350">
                  <c:v>192.83228731655981</c:v>
                </c:pt>
                <c:pt idx="351">
                  <c:v>-371.83578720834339</c:v>
                </c:pt>
                <c:pt idx="352">
                  <c:v>196.19008589215809</c:v>
                </c:pt>
                <c:pt idx="353">
                  <c:v>-411.46607585938182</c:v>
                </c:pt>
                <c:pt idx="354">
                  <c:v>198.07899285387248</c:v>
                </c:pt>
                <c:pt idx="355">
                  <c:v>-452.05518922110787</c:v>
                </c:pt>
                <c:pt idx="356">
                  <c:v>198.52999253128655</c:v>
                </c:pt>
                <c:pt idx="357">
                  <c:v>-481.52483534294879</c:v>
                </c:pt>
                <c:pt idx="358">
                  <c:v>197.57337408006424</c:v>
                </c:pt>
                <c:pt idx="359">
                  <c:v>-436.91813530633226</c:v>
                </c:pt>
                <c:pt idx="360">
                  <c:v>195.23874861985678</c:v>
                </c:pt>
                <c:pt idx="361">
                  <c:v>-394.18290417367825</c:v>
                </c:pt>
                <c:pt idx="362">
                  <c:v>191.55506778031122</c:v>
                </c:pt>
                <c:pt idx="363">
                  <c:v>-353.28335637011332</c:v>
                </c:pt>
                <c:pt idx="364">
                  <c:v>186.55063932604389</c:v>
                </c:pt>
                <c:pt idx="365">
                  <c:v>-314.18446690181736</c:v>
                </c:pt>
                <c:pt idx="366">
                  <c:v>180.25314477388747</c:v>
                </c:pt>
                <c:pt idx="367">
                  <c:v>-276.85195204586489</c:v>
                </c:pt>
                <c:pt idx="368">
                  <c:v>172.68965382280294</c:v>
                </c:pt>
                <c:pt idx="369">
                  <c:v>-241.25225199508714</c:v>
                </c:pt>
                <c:pt idx="370">
                  <c:v>163.88664117909502</c:v>
                </c:pt>
                <c:pt idx="371">
                  <c:v>-207.35251236165641</c:v>
                </c:pt>
                <c:pt idx="372">
                  <c:v>153.87000059377169</c:v>
                </c:pt>
                <c:pt idx="373">
                  <c:v>-175.12056749133626</c:v>
                </c:pt>
                <c:pt idx="374">
                  <c:v>142.66506016819039</c:v>
                </c:pt>
                <c:pt idx="375">
                  <c:v>-144.52492320316378</c:v>
                </c:pt>
                <c:pt idx="376">
                  <c:v>130.29659569374053</c:v>
                </c:pt>
                <c:pt idx="377">
                  <c:v>-115.53474155493313</c:v>
                </c:pt>
                <c:pt idx="378">
                  <c:v>116.78884479193948</c:v>
                </c:pt>
                <c:pt idx="379">
                  <c:v>-88.119823994289618</c:v>
                </c:pt>
                <c:pt idx="380">
                  <c:v>102.16552088712342</c:v>
                </c:pt>
                <c:pt idx="381">
                  <c:v>-62.250596482539549</c:v>
                </c:pt>
                <c:pt idx="382">
                  <c:v>86.449824746116064</c:v>
                </c:pt>
                <c:pt idx="383">
                  <c:v>-37.898094441974536</c:v>
                </c:pt>
                <c:pt idx="384">
                  <c:v>69.664458329614718</c:v>
                </c:pt>
                <c:pt idx="385">
                  <c:v>-15.033948495052755</c:v>
                </c:pt>
                <c:pt idx="386">
                  <c:v>51.83163661666913</c:v>
                </c:pt>
                <c:pt idx="387">
                  <c:v>6.3696303839678876</c:v>
                </c:pt>
                <c:pt idx="388">
                  <c:v>32.973099169612397</c:v>
                </c:pt>
                <c:pt idx="389">
                  <c:v>26.339863520755898</c:v>
                </c:pt>
                <c:pt idx="390">
                  <c:v>13.110122302430682</c:v>
                </c:pt>
                <c:pt idx="391">
                  <c:v>44.903418803354725</c:v>
                </c:pt>
                <c:pt idx="392">
                  <c:v>-7.7364702843478881</c:v>
                </c:pt>
                <c:pt idx="393">
                  <c:v>62.086423267784994</c:v>
                </c:pt>
                <c:pt idx="394">
                  <c:v>-29.54629588953685</c:v>
                </c:pt>
                <c:pt idx="395">
                  <c:v>77.914476052916143</c:v>
                </c:pt>
                <c:pt idx="396">
                  <c:v>-52.299402603995986</c:v>
                </c:pt>
                <c:pt idx="397">
                  <c:v>92.412660583271645</c:v>
                </c:pt>
                <c:pt idx="398">
                  <c:v>-75.976259089715313</c:v>
                </c:pt>
                <c:pt idx="399">
                  <c:v>105.60555585141992</c:v>
                </c:pt>
                <c:pt idx="400">
                  <c:v>-100.55774429196026</c:v>
                </c:pt>
                <c:pt idx="401">
                  <c:v>117.51724982191809</c:v>
                </c:pt>
                <c:pt idx="402">
                  <c:v>-126.0251376471133</c:v>
                </c:pt>
                <c:pt idx="403">
                  <c:v>128.17134861444356</c:v>
                </c:pt>
                <c:pt idx="404">
                  <c:v>-152.36010972218355</c:v>
                </c:pt>
                <c:pt idx="405">
                  <c:v>137.59098963439465</c:v>
                </c:pt>
                <c:pt idx="406">
                  <c:v>-179.54471266834298</c:v>
                </c:pt>
                <c:pt idx="407">
                  <c:v>145.79885034268955</c:v>
                </c:pt>
                <c:pt idx="408">
                  <c:v>-207.56137143884553</c:v>
                </c:pt>
                <c:pt idx="409">
                  <c:v>152.81716063263593</c:v>
                </c:pt>
                <c:pt idx="410">
                  <c:v>-236.3928749775514</c:v>
                </c:pt>
                <c:pt idx="411">
                  <c:v>158.66771164617967</c:v>
                </c:pt>
                <c:pt idx="412">
                  <c:v>-266.02236790466122</c:v>
                </c:pt>
                <c:pt idx="413">
                  <c:v>163.37186644604662</c:v>
                </c:pt>
                <c:pt idx="414">
                  <c:v>-296.43334201321704</c:v>
                </c:pt>
                <c:pt idx="415">
                  <c:v>166.95056921278592</c:v>
                </c:pt>
                <c:pt idx="416">
                  <c:v>-327.60962764237775</c:v>
                </c:pt>
                <c:pt idx="417">
                  <c:v>169.42435530544026</c:v>
                </c:pt>
                <c:pt idx="418">
                  <c:v>-359.53538721654331</c:v>
                </c:pt>
                <c:pt idx="419">
                  <c:v>170.81335947278421</c:v>
                </c:pt>
                <c:pt idx="420">
                  <c:v>-392.19510574173182</c:v>
                </c:pt>
                <c:pt idx="421">
                  <c:v>171.13732589688152</c:v>
                </c:pt>
                <c:pt idx="422">
                  <c:v>-415.20899323484628</c:v>
                </c:pt>
                <c:pt idx="423">
                  <c:v>170.41561640187865</c:v>
                </c:pt>
                <c:pt idx="424">
                  <c:v>-379.53529644117225</c:v>
                </c:pt>
                <c:pt idx="425">
                  <c:v>168.66721886035521</c:v>
                </c:pt>
                <c:pt idx="426">
                  <c:v>-345.2295018620207</c:v>
                </c:pt>
                <c:pt idx="427">
                  <c:v>165.91075537772849</c:v>
                </c:pt>
                <c:pt idx="428">
                  <c:v>-312.26889507955639</c:v>
                </c:pt>
                <c:pt idx="429">
                  <c:v>162.16449094645213</c:v>
                </c:pt>
                <c:pt idx="430">
                  <c:v>-280.63117984432029</c:v>
                </c:pt>
                <c:pt idx="431">
                  <c:v>157.4463403141126</c:v>
                </c:pt>
                <c:pt idx="432">
                  <c:v>-250.29446959478082</c:v>
                </c:pt>
                <c:pt idx="433">
                  <c:v>151.77387713448843</c:v>
                </c:pt>
                <c:pt idx="434">
                  <c:v>-221.23727798601612</c:v>
                </c:pt>
                <c:pt idx="435">
                  <c:v>145.16433985123876</c:v>
                </c:pt>
                <c:pt idx="436">
                  <c:v>-193.43851138843456</c:v>
                </c:pt>
                <c:pt idx="437">
                  <c:v>137.6346399995964</c:v>
                </c:pt>
                <c:pt idx="438">
                  <c:v>-166.87745934008854</c:v>
                </c:pt>
                <c:pt idx="439">
                  <c:v>129.20136916637421</c:v>
                </c:pt>
                <c:pt idx="440">
                  <c:v>-141.53378763626097</c:v>
                </c:pt>
                <c:pt idx="441">
                  <c:v>119.88080508832354</c:v>
                </c:pt>
                <c:pt idx="442">
                  <c:v>-117.3875298051862</c:v>
                </c:pt>
                <c:pt idx="443">
                  <c:v>109.6889201097074</c:v>
                </c:pt>
                <c:pt idx="444">
                  <c:v>-94.419079270970542</c:v>
                </c:pt>
                <c:pt idx="445">
                  <c:v>98.641386105387937</c:v>
                </c:pt>
                <c:pt idx="446">
                  <c:v>-72.609182116750162</c:v>
                </c:pt>
                <c:pt idx="447">
                  <c:v>86.753581602068152</c:v>
                </c:pt>
                <c:pt idx="448">
                  <c:v>-51.938930224336218</c:v>
                </c:pt>
                <c:pt idx="449">
                  <c:v>74.040598124091048</c:v>
                </c:pt>
                <c:pt idx="450">
                  <c:v>-32.38975289609516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5F-41C9-925F-A76181106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84128"/>
        <c:axId val="793283168"/>
      </c:lineChart>
      <c:catAx>
        <c:axId val="79328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83168"/>
        <c:crosses val="autoZero"/>
        <c:auto val="1"/>
        <c:lblAlgn val="ctr"/>
        <c:lblOffset val="100"/>
        <c:noMultiLvlLbl val="0"/>
      </c:catAx>
      <c:valAx>
        <c:axId val="79328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8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7.xml"/><Relationship Id="rId13" Type="http://schemas.openxmlformats.org/officeDocument/2006/relationships/customXml" Target="../ink/ink12.xml"/><Relationship Id="rId3" Type="http://schemas.openxmlformats.org/officeDocument/2006/relationships/customXml" Target="../ink/ink2.xml"/><Relationship Id="rId7" Type="http://schemas.openxmlformats.org/officeDocument/2006/relationships/customXml" Target="../ink/ink6.xml"/><Relationship Id="rId12" Type="http://schemas.openxmlformats.org/officeDocument/2006/relationships/customXml" Target="../ink/ink11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customXml" Target="../ink/ink5.xml"/><Relationship Id="rId11" Type="http://schemas.openxmlformats.org/officeDocument/2006/relationships/customXml" Target="../ink/ink10.xml"/><Relationship Id="rId5" Type="http://schemas.openxmlformats.org/officeDocument/2006/relationships/customXml" Target="../ink/ink4.xml"/><Relationship Id="rId10" Type="http://schemas.openxmlformats.org/officeDocument/2006/relationships/customXml" Target="../ink/ink9.xml"/><Relationship Id="rId4" Type="http://schemas.openxmlformats.org/officeDocument/2006/relationships/customXml" Target="../ink/ink3.xml"/><Relationship Id="rId9" Type="http://schemas.openxmlformats.org/officeDocument/2006/relationships/customXml" Target="../ink/ink8.xml"/><Relationship Id="rId14" Type="http://schemas.openxmlformats.org/officeDocument/2006/relationships/customXml" Target="../ink/ink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198000</xdr:colOff>
      <xdr:row>3</xdr:row>
      <xdr:rowOff>167760</xdr:rowOff>
    </xdr:from>
    <xdr:to>
      <xdr:col>8</xdr:col>
      <xdr:colOff>198360</xdr:colOff>
      <xdr:row>3</xdr:row>
      <xdr:rowOff>168120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79A9C1F-D5E7-4EDD-B663-64348AB277E4}"/>
                </a:ext>
              </a:extLst>
            </xdr14:cNvPr>
            <xdr14:cNvContentPartPr/>
          </xdr14:nvContentPartPr>
          <xdr14:nvPr macro=""/>
          <xdr14:xfrm>
            <a:off x="5501520" y="89928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095277D7-AD30-A9DD-11CC-DD3B919A21F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495400" y="89280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60720</xdr:colOff>
      <xdr:row>6</xdr:row>
      <xdr:rowOff>83880</xdr:rowOff>
    </xdr:from>
    <xdr:to>
      <xdr:col>9</xdr:col>
      <xdr:colOff>61080</xdr:colOff>
      <xdr:row>6</xdr:row>
      <xdr:rowOff>84240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ED3D6DC9-3973-4088-B017-E9EC5E00D462}"/>
                </a:ext>
              </a:extLst>
            </xdr14:cNvPr>
            <xdr14:cNvContentPartPr/>
          </xdr14:nvContentPartPr>
          <xdr14:nvPr macro=""/>
          <xdr14:xfrm>
            <a:off x="5973840" y="13640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F189A909-833C-33B6-8371-FAD4777FC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67720" y="13575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121800</xdr:colOff>
      <xdr:row>6</xdr:row>
      <xdr:rowOff>52920</xdr:rowOff>
    </xdr:from>
    <xdr:to>
      <xdr:col>4</xdr:col>
      <xdr:colOff>122160</xdr:colOff>
      <xdr:row>6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C0821485-ABB8-4CFC-88B2-72BAAFA6AC15}"/>
                </a:ext>
              </a:extLst>
            </xdr14:cNvPr>
            <xdr14:cNvContentPartPr/>
          </xdr14:nvContentPartPr>
          <xdr14:nvPr macro=""/>
          <xdr14:xfrm>
            <a:off x="2986920" y="1333080"/>
            <a:ext cx="36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808A1554-5BC4-D834-BBF9-7481963909A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80800" y="1326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121800</xdr:colOff>
      <xdr:row>6</xdr:row>
      <xdr:rowOff>52920</xdr:rowOff>
    </xdr:from>
    <xdr:to>
      <xdr:col>4</xdr:col>
      <xdr:colOff>122160</xdr:colOff>
      <xdr:row>6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025022E-CB28-4CA1-9217-4013E91FB442}"/>
                </a:ext>
              </a:extLst>
            </xdr14:cNvPr>
            <xdr14:cNvContentPartPr/>
          </xdr14:nvContentPartPr>
          <xdr14:nvPr macro=""/>
          <xdr14:xfrm>
            <a:off x="2986920" y="1333080"/>
            <a:ext cx="360" cy="3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0BAEBF2-40AE-6B25-8689-C864DD9C114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80800" y="1326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121800</xdr:colOff>
      <xdr:row>6</xdr:row>
      <xdr:rowOff>52920</xdr:rowOff>
    </xdr:from>
    <xdr:to>
      <xdr:col>4</xdr:col>
      <xdr:colOff>122160</xdr:colOff>
      <xdr:row>6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A0B04835-602A-4A6E-BC77-8CAA59E7D4DC}"/>
                </a:ext>
              </a:extLst>
            </xdr14:cNvPr>
            <xdr14:cNvContentPartPr/>
          </xdr14:nvContentPartPr>
          <xdr14:nvPr macro=""/>
          <xdr14:xfrm>
            <a:off x="2986920" y="1333080"/>
            <a:ext cx="360" cy="36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5EF1283F-BBD4-E61B-E753-FEBC697513A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80800" y="1326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121800</xdr:colOff>
      <xdr:row>6</xdr:row>
      <xdr:rowOff>52920</xdr:rowOff>
    </xdr:from>
    <xdr:to>
      <xdr:col>4</xdr:col>
      <xdr:colOff>122160</xdr:colOff>
      <xdr:row>6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0962315-0200-498D-8B09-83F0E731CAF0}"/>
                </a:ext>
              </a:extLst>
            </xdr14:cNvPr>
            <xdr14:cNvContentPartPr/>
          </xdr14:nvContentPartPr>
          <xdr14:nvPr macro=""/>
          <xdr14:xfrm>
            <a:off x="2986920" y="1333080"/>
            <a:ext cx="360" cy="3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316EFDA8-4412-3E9F-04E2-BB39C8F9147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80800" y="1326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121800</xdr:colOff>
      <xdr:row>6</xdr:row>
      <xdr:rowOff>52920</xdr:rowOff>
    </xdr:from>
    <xdr:to>
      <xdr:col>4</xdr:col>
      <xdr:colOff>122160</xdr:colOff>
      <xdr:row>6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B6D3DE1-2C5F-40F5-B585-A71384872B16}"/>
                </a:ext>
              </a:extLst>
            </xdr14:cNvPr>
            <xdr14:cNvContentPartPr/>
          </xdr14:nvContentPartPr>
          <xdr14:nvPr macro=""/>
          <xdr14:xfrm>
            <a:off x="2986920" y="1333080"/>
            <a:ext cx="360" cy="3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4BF5FA5-E77C-A6E2-D6B9-6A60C4C2969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80800" y="1326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121800</xdr:colOff>
      <xdr:row>6</xdr:row>
      <xdr:rowOff>52920</xdr:rowOff>
    </xdr:from>
    <xdr:to>
      <xdr:col>4</xdr:col>
      <xdr:colOff>122160</xdr:colOff>
      <xdr:row>6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D0599FD1-A48C-4B79-8FB2-9DCB876CC2B8}"/>
                </a:ext>
              </a:extLst>
            </xdr14:cNvPr>
            <xdr14:cNvContentPartPr/>
          </xdr14:nvContentPartPr>
          <xdr14:nvPr macro=""/>
          <xdr14:xfrm>
            <a:off x="2986920" y="1333080"/>
            <a:ext cx="360" cy="3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11D418D-612A-1BF7-4953-E4A75127D39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980800" y="1326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274080</xdr:colOff>
      <xdr:row>5</xdr:row>
      <xdr:rowOff>121680</xdr:rowOff>
    </xdr:from>
    <xdr:to>
      <xdr:col>1</xdr:col>
      <xdr:colOff>274440</xdr:colOff>
      <xdr:row>5</xdr:row>
      <xdr:rowOff>122040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154C61D0-57E3-45E2-8F91-A9421163F43F}"/>
                </a:ext>
              </a:extLst>
            </xdr14:cNvPr>
            <xdr14:cNvContentPartPr/>
          </xdr14:nvContentPartPr>
          <xdr14:nvPr macro=""/>
          <xdr14:xfrm>
            <a:off x="1310400" y="1218960"/>
            <a:ext cx="360" cy="36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E7854914-8972-6E6C-CC8F-5E7BA89BCFC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04280" y="12128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243720</xdr:colOff>
      <xdr:row>2</xdr:row>
      <xdr:rowOff>174960</xdr:rowOff>
    </xdr:from>
    <xdr:to>
      <xdr:col>5</xdr:col>
      <xdr:colOff>244080</xdr:colOff>
      <xdr:row>2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695CFDA6-C9F3-415E-86EF-B4A5FE6CEA2A}"/>
                </a:ext>
              </a:extLst>
            </xdr14:cNvPr>
            <xdr14:cNvContentPartPr/>
          </xdr14:nvContentPartPr>
          <xdr14:nvPr macro=""/>
          <xdr14:xfrm>
            <a:off x="3718440" y="723600"/>
            <a:ext cx="360" cy="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32B422A-EE1D-2B41-EFD7-0DCC0A3D8C8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12320" y="7174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350400</xdr:colOff>
      <xdr:row>5</xdr:row>
      <xdr:rowOff>121680</xdr:rowOff>
    </xdr:from>
    <xdr:to>
      <xdr:col>1</xdr:col>
      <xdr:colOff>350760</xdr:colOff>
      <xdr:row>5</xdr:row>
      <xdr:rowOff>122040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DC8C913-1605-45D6-BC63-E8AFE7A11A9C}"/>
                </a:ext>
              </a:extLst>
            </xdr14:cNvPr>
            <xdr14:cNvContentPartPr/>
          </xdr14:nvContentPartPr>
          <xdr14:nvPr macro=""/>
          <xdr14:xfrm>
            <a:off x="1386720" y="1218960"/>
            <a:ext cx="360" cy="3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3FBEFFA3-4922-EF9F-3BD5-EE3ACB4DD31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80600" y="12128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381000</xdr:colOff>
      <xdr:row>5</xdr:row>
      <xdr:rowOff>106560</xdr:rowOff>
    </xdr:from>
    <xdr:to>
      <xdr:col>1</xdr:col>
      <xdr:colOff>381360</xdr:colOff>
      <xdr:row>5</xdr:row>
      <xdr:rowOff>106920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41377483-D740-4C5F-B383-3B8CE00F00EA}"/>
                </a:ext>
              </a:extLst>
            </xdr14:cNvPr>
            <xdr14:cNvContentPartPr/>
          </xdr14:nvContentPartPr>
          <xdr14:nvPr macro=""/>
          <xdr14:xfrm>
            <a:off x="1417320" y="1203840"/>
            <a:ext cx="360" cy="36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C3873096-918A-E513-8DA8-046458606F6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411200" y="119772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594240</xdr:colOff>
      <xdr:row>6</xdr:row>
      <xdr:rowOff>98640</xdr:rowOff>
    </xdr:from>
    <xdr:to>
      <xdr:col>6</xdr:col>
      <xdr:colOff>594600</xdr:colOff>
      <xdr:row>6</xdr:row>
      <xdr:rowOff>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C1ECF082-327A-4295-8693-976CF0BF6087}"/>
                </a:ext>
              </a:extLst>
            </xdr14:cNvPr>
            <xdr14:cNvContentPartPr/>
          </xdr14:nvContentPartPr>
          <xdr14:nvPr macro=""/>
          <xdr14:xfrm>
            <a:off x="4678560" y="1378800"/>
            <a:ext cx="360" cy="3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0BD03D7-4477-2E54-31E6-BEA2AFB0A76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672440" y="13726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236221</xdr:colOff>
      <xdr:row>13</xdr:row>
      <xdr:rowOff>171450</xdr:rowOff>
    </xdr:from>
    <xdr:to>
      <xdr:col>7</xdr:col>
      <xdr:colOff>390526</xdr:colOff>
      <xdr:row>28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A8FBA4-D029-B050-1525-640B1BCB6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14</xdr:row>
      <xdr:rowOff>0</xdr:rowOff>
    </xdr:from>
    <xdr:to>
      <xdr:col>17</xdr:col>
      <xdr:colOff>282232</xdr:colOff>
      <xdr:row>28</xdr:row>
      <xdr:rowOff>183547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35BD48-DC39-46AB-9C30-F58BE9CE1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8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0 24575,'0'0'-8191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8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0 24575,'0'0'-8191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8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0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1-20T01:13:55.99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24575,'-1'0'-8191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030B-850C-49C3-8EBC-D20968490347}">
  <sheetPr codeName="Sheet1"/>
  <dimension ref="A1:R36"/>
  <sheetViews>
    <sheetView tabSelected="1" zoomScale="74" workbookViewId="0">
      <selection activeCell="F7" sqref="F7"/>
    </sheetView>
  </sheetViews>
  <sheetFormatPr defaultRowHeight="14.4" x14ac:dyDescent="0.3"/>
  <cols>
    <col min="1" max="1" width="14" customWidth="1"/>
    <col min="15" max="15" width="12" bestFit="1" customWidth="1"/>
    <col min="16" max="16" width="12" customWidth="1"/>
    <col min="17" max="17" width="15.5546875" customWidth="1"/>
  </cols>
  <sheetData>
    <row r="1" spans="1:17" x14ac:dyDescent="0.3">
      <c r="A1" t="s">
        <v>0</v>
      </c>
      <c r="B1">
        <v>60</v>
      </c>
    </row>
    <row r="2" spans="1:17" x14ac:dyDescent="0.3">
      <c r="A2" t="s">
        <v>1</v>
      </c>
      <c r="B2">
        <v>50</v>
      </c>
    </row>
    <row r="3" spans="1:17" x14ac:dyDescent="0.3">
      <c r="A3" t="s">
        <v>2</v>
      </c>
      <c r="B3">
        <v>2</v>
      </c>
    </row>
    <row r="4" spans="1:17" x14ac:dyDescent="0.3">
      <c r="A4" t="s">
        <v>3</v>
      </c>
      <c r="B4">
        <v>0.2</v>
      </c>
    </row>
    <row r="5" spans="1:17" x14ac:dyDescent="0.3">
      <c r="A5" t="s">
        <v>4</v>
      </c>
      <c r="B5">
        <v>0.05</v>
      </c>
    </row>
    <row r="6" spans="1:17" x14ac:dyDescent="0.3">
      <c r="A6" t="s">
        <v>5</v>
      </c>
      <c r="B6">
        <v>100000</v>
      </c>
    </row>
    <row r="8" spans="1:17" x14ac:dyDescent="0.3">
      <c r="A8" t="s">
        <v>6</v>
      </c>
      <c r="B8">
        <f>(EXP(rate*dt)-d)/(u-d)</f>
        <v>0.5337615177263868</v>
      </c>
    </row>
    <row r="9" spans="1:17" x14ac:dyDescent="0.3">
      <c r="A9" t="s">
        <v>7</v>
      </c>
      <c r="B9">
        <f>1-p</f>
        <v>0.4662384822736132</v>
      </c>
    </row>
    <row r="10" spans="1:17" x14ac:dyDescent="0.3">
      <c r="A10" t="s">
        <v>8</v>
      </c>
      <c r="B10">
        <f>EXP(vol*SQRT(dt))</f>
        <v>1.0935646911485417</v>
      </c>
    </row>
    <row r="11" spans="1:17" x14ac:dyDescent="0.3">
      <c r="A11" t="s">
        <v>9</v>
      </c>
      <c r="B11">
        <f>1/u</f>
        <v>0.914440643607217</v>
      </c>
    </row>
    <row r="12" spans="1:17" x14ac:dyDescent="0.3">
      <c r="N12" t="s">
        <v>11</v>
      </c>
      <c r="O12" t="s">
        <v>12</v>
      </c>
    </row>
    <row r="13" spans="1:17" x14ac:dyDescent="0.3">
      <c r="A13" t="s">
        <v>10</v>
      </c>
      <c r="B13">
        <f>T/10</f>
        <v>0.2</v>
      </c>
      <c r="L13">
        <f>K14*u</f>
        <v>122.29671674585431</v>
      </c>
      <c r="N13">
        <f>MAX(L13-S,0)</f>
        <v>72.296716745854312</v>
      </c>
      <c r="O13">
        <f>p^10</f>
        <v>1.877035970123966E-3</v>
      </c>
      <c r="Q13">
        <f>N13*O13</f>
        <v>0.13570353785383221</v>
      </c>
    </row>
    <row r="14" spans="1:17" x14ac:dyDescent="0.3">
      <c r="K14">
        <f>J15*u</f>
        <v>111.83308837212853</v>
      </c>
      <c r="O14" t="s">
        <v>15</v>
      </c>
    </row>
    <row r="15" spans="1:17" x14ac:dyDescent="0.3">
      <c r="J15">
        <f>I16*u</f>
        <v>102.264721307592</v>
      </c>
      <c r="L15">
        <f>K14*d</f>
        <v>102.26472130759198</v>
      </c>
      <c r="N15">
        <f>MAX(L15-S,0)</f>
        <v>52.264721307591984</v>
      </c>
      <c r="O15">
        <f>COMBIN(10,1) * p^9 * q</f>
        <v>1.6395831711723149E-2</v>
      </c>
      <c r="Q15">
        <f>N15*O15</f>
        <v>0.85692357501938921</v>
      </c>
    </row>
    <row r="16" spans="1:17" x14ac:dyDescent="0.3">
      <c r="I16">
        <f>H17*u</f>
        <v>93.515017570827112</v>
      </c>
      <c r="K16">
        <f>J17*u</f>
        <v>93.515017570827112</v>
      </c>
    </row>
    <row r="17" spans="2:17" x14ac:dyDescent="0.3">
      <c r="H17">
        <f>G18*u</f>
        <v>85.513932854407358</v>
      </c>
      <c r="J17">
        <f>I18*u</f>
        <v>85.513932854407358</v>
      </c>
      <c r="L17">
        <f>K18*u</f>
        <v>85.513932854407358</v>
      </c>
      <c r="N17">
        <f>MAX(L17-S,0)</f>
        <v>35.513932854407358</v>
      </c>
      <c r="O17">
        <f>COMBIN(10,2) * p^8 * q^2</f>
        <v>6.444761091905267E-2</v>
      </c>
      <c r="Q17">
        <f>N17*O17</f>
        <v>2.2887881268062071</v>
      </c>
    </row>
    <row r="18" spans="2:17" x14ac:dyDescent="0.3">
      <c r="G18">
        <f>F19*u</f>
        <v>78.19741579676861</v>
      </c>
      <c r="I18">
        <f>H19*u</f>
        <v>78.19741579676861</v>
      </c>
      <c r="K18">
        <f>J19*u</f>
        <v>78.19741579676861</v>
      </c>
    </row>
    <row r="19" spans="2:17" x14ac:dyDescent="0.3">
      <c r="F19">
        <f>E20*u</f>
        <v>71.506895229618252</v>
      </c>
      <c r="H19">
        <f>G20*u</f>
        <v>71.506895229618252</v>
      </c>
      <c r="J19">
        <f>I20*u</f>
        <v>71.506895229618252</v>
      </c>
      <c r="L19">
        <f>K20*u</f>
        <v>71.506895229618252</v>
      </c>
      <c r="N19">
        <f>MAX(L19-S,0)</f>
        <v>21.506895229618252</v>
      </c>
      <c r="O19">
        <f>COMBIN(10,3) * p^7 * q^3</f>
        <v>0.15011925889825295</v>
      </c>
      <c r="Q19">
        <f>N19*O19</f>
        <v>3.2285991730726638</v>
      </c>
    </row>
    <row r="20" spans="2:17" x14ac:dyDescent="0.3">
      <c r="E20">
        <f>D21*u</f>
        <v>65.388811296125951</v>
      </c>
      <c r="G20">
        <f>F21*u</f>
        <v>65.388811296125951</v>
      </c>
      <c r="I20">
        <f>H21*u</f>
        <v>65.388811296125951</v>
      </c>
      <c r="K20">
        <f>J21*u</f>
        <v>65.388811296125951</v>
      </c>
    </row>
    <row r="21" spans="2:17" x14ac:dyDescent="0.3">
      <c r="D21">
        <f>C22*u</f>
        <v>59.794186686340275</v>
      </c>
      <c r="F21">
        <f>E22*u</f>
        <v>59.794186686340275</v>
      </c>
      <c r="H21">
        <f>G22*u</f>
        <v>59.794186686340275</v>
      </c>
      <c r="J21">
        <f>I22*u</f>
        <v>59.794186686340275</v>
      </c>
      <c r="L21">
        <f>K22*u</f>
        <v>59.794186686340275</v>
      </c>
      <c r="N21">
        <f>MAX(L21-S,0)</f>
        <v>9.7941866863402751</v>
      </c>
      <c r="O21">
        <f>COMBIN(10,4) * p^6 * q^4</f>
        <v>0.22947496762612102</v>
      </c>
      <c r="Q21">
        <f>N21*O21</f>
        <v>2.24752067277212</v>
      </c>
    </row>
    <row r="22" spans="2:17" x14ac:dyDescent="0.3">
      <c r="C22">
        <f>S*u</f>
        <v>54.678234557427089</v>
      </c>
      <c r="E22">
        <f>D23*u</f>
        <v>54.678234557427089</v>
      </c>
      <c r="G22">
        <f>F23*u</f>
        <v>54.678234557427089</v>
      </c>
      <c r="I22">
        <f>H23*u</f>
        <v>54.678234557427089</v>
      </c>
      <c r="K22">
        <f>J23*u</f>
        <v>54.678234557427089</v>
      </c>
    </row>
    <row r="23" spans="2:17" x14ac:dyDescent="0.3">
      <c r="B23">
        <f>S</f>
        <v>50</v>
      </c>
      <c r="D23">
        <f>C24*u</f>
        <v>50</v>
      </c>
      <c r="F23">
        <f>E24*u</f>
        <v>50</v>
      </c>
      <c r="H23">
        <f>G24*u</f>
        <v>50</v>
      </c>
      <c r="J23">
        <f>I24*u</f>
        <v>50</v>
      </c>
      <c r="L23">
        <f>K24*u</f>
        <v>50</v>
      </c>
      <c r="N23">
        <f>MAX(L23-S,0)</f>
        <v>0</v>
      </c>
      <c r="O23">
        <f>COMBIN(10,5) * q^5 * p^5</f>
        <v>0.24053452429060365</v>
      </c>
      <c r="Q23">
        <f>N23*O23</f>
        <v>0</v>
      </c>
    </row>
    <row r="24" spans="2:17" x14ac:dyDescent="0.3">
      <c r="C24">
        <f>S*d</f>
        <v>45.722032180360848</v>
      </c>
      <c r="E24">
        <f>D25*u</f>
        <v>45.722032180360848</v>
      </c>
      <c r="G24">
        <f>F25*u</f>
        <v>45.722032180360848</v>
      </c>
      <c r="I24">
        <f>H25*u</f>
        <v>45.722032180360848</v>
      </c>
      <c r="K24">
        <f>J25*u</f>
        <v>45.722032180360848</v>
      </c>
    </row>
    <row r="25" spans="2:17" x14ac:dyDescent="0.3">
      <c r="D25">
        <f>C24*d</f>
        <v>41.810084534039063</v>
      </c>
      <c r="F25">
        <f>E26*u</f>
        <v>41.810084534039063</v>
      </c>
      <c r="H25">
        <f>G26*u</f>
        <v>41.810084534039063</v>
      </c>
      <c r="J25">
        <f>I26*u</f>
        <v>41.810084534039063</v>
      </c>
      <c r="L25">
        <f>K26*u</f>
        <v>41.810084534039063</v>
      </c>
      <c r="N25">
        <f>MAX(L25-S,0)</f>
        <v>0</v>
      </c>
      <c r="O25">
        <f>COMBIN(10,6) * p^4 * q^6</f>
        <v>0.17508826166624022</v>
      </c>
      <c r="Q25">
        <f>N25*O25</f>
        <v>0</v>
      </c>
    </row>
    <row r="26" spans="2:17" x14ac:dyDescent="0.3">
      <c r="E26">
        <f>D25*d</f>
        <v>38.232840610578833</v>
      </c>
      <c r="G26">
        <f>F27*u</f>
        <v>38.232840610578833</v>
      </c>
      <c r="I26">
        <f>H27*u</f>
        <v>38.232840610578833</v>
      </c>
      <c r="K26">
        <f>J27*u</f>
        <v>38.232840610578833</v>
      </c>
    </row>
    <row r="27" spans="2:17" x14ac:dyDescent="0.3">
      <c r="F27">
        <f>E26*d</f>
        <v>34.96166337486985</v>
      </c>
      <c r="H27">
        <f>G28*u</f>
        <v>34.96166337486985</v>
      </c>
      <c r="J27">
        <f>I28*u</f>
        <v>34.96166337486985</v>
      </c>
      <c r="L27">
        <f>K28*u</f>
        <v>34.96166337486985</v>
      </c>
      <c r="N27">
        <f>MAX(L27-S,0)</f>
        <v>0</v>
      </c>
      <c r="O27">
        <f>COMBIN(10,7) * p^3 * q^7</f>
        <v>8.7393642154664303E-2</v>
      </c>
      <c r="Q27">
        <f>N27*O27</f>
        <v>0</v>
      </c>
    </row>
    <row r="28" spans="2:17" x14ac:dyDescent="0.3">
      <c r="G28">
        <f>F27*d</f>
        <v>31.970365958094852</v>
      </c>
      <c r="I28">
        <f>H29*u</f>
        <v>31.970365958094852</v>
      </c>
      <c r="K28">
        <f>J29*u</f>
        <v>31.970365958094852</v>
      </c>
    </row>
    <row r="29" spans="2:17" x14ac:dyDescent="0.3">
      <c r="H29">
        <f>G28*d</f>
        <v>29.235002023078518</v>
      </c>
      <c r="J29">
        <f>I30*u</f>
        <v>29.235002023078518</v>
      </c>
      <c r="L29">
        <f>K30*u</f>
        <v>29.235002023078518</v>
      </c>
      <c r="N29">
        <f>MAX(L29-S,0)</f>
        <v>0</v>
      </c>
      <c r="O29">
        <f>COMBIN(10,8) * p^2 * q^8</f>
        <v>2.8626744617228823E-2</v>
      </c>
      <c r="Q29">
        <f>N29*O29</f>
        <v>0</v>
      </c>
    </row>
    <row r="30" spans="2:17" x14ac:dyDescent="0.3">
      <c r="I30">
        <f>H29*d</f>
        <v>26.733674065842212</v>
      </c>
      <c r="K30">
        <f>J31*u</f>
        <v>26.733674065842212</v>
      </c>
    </row>
    <row r="31" spans="2:17" x14ac:dyDescent="0.3">
      <c r="J31">
        <f>I30*d</f>
        <v>24.446358118754318</v>
      </c>
      <c r="L31">
        <f>K32*u</f>
        <v>24.446358118754318</v>
      </c>
      <c r="N31">
        <f>MAX(L31-S,0)</f>
        <v>0</v>
      </c>
      <c r="O31">
        <f>COMBIN(10,9) * p * q^9</f>
        <v>5.5567429437707481E-3</v>
      </c>
      <c r="Q31">
        <f>N31*O31</f>
        <v>0</v>
      </c>
    </row>
    <row r="32" spans="2:17" x14ac:dyDescent="0.3">
      <c r="K32">
        <f>J31*d</f>
        <v>22.354743451966215</v>
      </c>
    </row>
    <row r="33" spans="12:18" x14ac:dyDescent="0.3">
      <c r="L33">
        <f>K32*d</f>
        <v>20.442085989890206</v>
      </c>
      <c r="N33">
        <f>MAX(L33-S,0)</f>
        <v>0</v>
      </c>
      <c r="O33">
        <f>q^10</f>
        <v>4.8537920221823573E-4</v>
      </c>
      <c r="Q33">
        <f>N33*O33</f>
        <v>0</v>
      </c>
    </row>
    <row r="35" spans="12:18" x14ac:dyDescent="0.3">
      <c r="O35">
        <f>SUM(O13:O33)</f>
        <v>0.99999999999999967</v>
      </c>
      <c r="Q35" s="1" t="s">
        <v>14</v>
      </c>
      <c r="R35">
        <f>SUM(Q13:Q33) * Principal</f>
        <v>875753.50855242123</v>
      </c>
    </row>
    <row r="36" spans="12:18" x14ac:dyDescent="0.3">
      <c r="Q36" s="1" t="s">
        <v>13</v>
      </c>
      <c r="R36">
        <f xml:space="preserve"> 1/(1+ rate) * R35</f>
        <v>834050.96052611538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0CEEC-B7E0-4B73-AFAB-D144B8D843BE}">
  <sheetPr codeName="Sheet2"/>
  <dimension ref="A2:QJ13"/>
  <sheetViews>
    <sheetView zoomScale="73" workbookViewId="0">
      <selection activeCell="D12" sqref="D12"/>
    </sheetView>
  </sheetViews>
  <sheetFormatPr defaultRowHeight="14.4" x14ac:dyDescent="0.3"/>
  <cols>
    <col min="1" max="1" width="18.77734375" customWidth="1"/>
    <col min="2" max="2" width="9.77734375" customWidth="1"/>
  </cols>
  <sheetData>
    <row r="2" spans="1:452" x14ac:dyDescent="0.3">
      <c r="A2" t="s">
        <v>0</v>
      </c>
      <c r="B2">
        <f>K</f>
        <v>60</v>
      </c>
    </row>
    <row r="3" spans="1:452" x14ac:dyDescent="0.3">
      <c r="A3" t="s">
        <v>1</v>
      </c>
      <c r="B3">
        <f>S</f>
        <v>50</v>
      </c>
    </row>
    <row r="4" spans="1:452" x14ac:dyDescent="0.3">
      <c r="A4" t="s">
        <v>2</v>
      </c>
      <c r="B4">
        <f>T</f>
        <v>2</v>
      </c>
    </row>
    <row r="5" spans="1:452" x14ac:dyDescent="0.3">
      <c r="A5" t="s">
        <v>3</v>
      </c>
      <c r="B5">
        <f>vol</f>
        <v>0.2</v>
      </c>
    </row>
    <row r="6" spans="1:452" x14ac:dyDescent="0.3">
      <c r="A6" t="s">
        <v>4</v>
      </c>
      <c r="B6">
        <f>rate</f>
        <v>0.05</v>
      </c>
    </row>
    <row r="7" spans="1:452" x14ac:dyDescent="0.3">
      <c r="A7" t="s">
        <v>5</v>
      </c>
      <c r="B7">
        <f>Principal</f>
        <v>100000</v>
      </c>
    </row>
    <row r="9" spans="1:452" x14ac:dyDescent="0.3">
      <c r="A9" t="s">
        <v>16</v>
      </c>
      <c r="B9" cm="1">
        <f t="array" ref="B9">BlackScholesCall(S, K, T, rate, vol)*Principal</f>
        <v>396410.64432351844</v>
      </c>
    </row>
    <row r="11" spans="1:452" x14ac:dyDescent="0.3">
      <c r="A11" t="s">
        <v>17</v>
      </c>
      <c r="B11">
        <v>50</v>
      </c>
      <c r="C11">
        <f>B11+1</f>
        <v>51</v>
      </c>
      <c r="D11">
        <f t="shared" ref="D11:BB11" si="0">C11+1</f>
        <v>52</v>
      </c>
      <c r="E11">
        <f t="shared" si="0"/>
        <v>53</v>
      </c>
      <c r="F11">
        <f t="shared" si="0"/>
        <v>54</v>
      </c>
      <c r="G11">
        <f>F11+1</f>
        <v>55</v>
      </c>
      <c r="H11">
        <f t="shared" si="0"/>
        <v>56</v>
      </c>
      <c r="I11">
        <f t="shared" si="0"/>
        <v>57</v>
      </c>
      <c r="J11">
        <f t="shared" si="0"/>
        <v>58</v>
      </c>
      <c r="K11">
        <f>J11+1</f>
        <v>59</v>
      </c>
      <c r="L11">
        <f t="shared" si="0"/>
        <v>60</v>
      </c>
      <c r="M11">
        <f t="shared" si="0"/>
        <v>61</v>
      </c>
      <c r="N11">
        <f t="shared" si="0"/>
        <v>62</v>
      </c>
      <c r="O11">
        <f>N11+1</f>
        <v>63</v>
      </c>
      <c r="P11">
        <f t="shared" si="0"/>
        <v>64</v>
      </c>
      <c r="Q11">
        <f t="shared" si="0"/>
        <v>65</v>
      </c>
      <c r="R11">
        <f t="shared" si="0"/>
        <v>66</v>
      </c>
      <c r="S11">
        <f>R11+1</f>
        <v>67</v>
      </c>
      <c r="T11">
        <f t="shared" si="0"/>
        <v>68</v>
      </c>
      <c r="U11">
        <f t="shared" si="0"/>
        <v>69</v>
      </c>
      <c r="V11">
        <f t="shared" si="0"/>
        <v>70</v>
      </c>
      <c r="W11">
        <f>V11+1</f>
        <v>71</v>
      </c>
      <c r="X11">
        <f t="shared" si="0"/>
        <v>72</v>
      </c>
      <c r="Y11">
        <f t="shared" si="0"/>
        <v>73</v>
      </c>
      <c r="Z11">
        <f t="shared" si="0"/>
        <v>74</v>
      </c>
      <c r="AA11">
        <f>Z11+1</f>
        <v>75</v>
      </c>
      <c r="AB11">
        <f t="shared" si="0"/>
        <v>76</v>
      </c>
      <c r="AC11">
        <f t="shared" si="0"/>
        <v>77</v>
      </c>
      <c r="AD11">
        <f t="shared" si="0"/>
        <v>78</v>
      </c>
      <c r="AE11">
        <f>AD11+1</f>
        <v>79</v>
      </c>
      <c r="AF11">
        <f t="shared" si="0"/>
        <v>80</v>
      </c>
      <c r="AG11">
        <f t="shared" si="0"/>
        <v>81</v>
      </c>
      <c r="AH11">
        <f t="shared" si="0"/>
        <v>82</v>
      </c>
      <c r="AI11">
        <f>AH11+1</f>
        <v>83</v>
      </c>
      <c r="AJ11">
        <f t="shared" si="0"/>
        <v>84</v>
      </c>
      <c r="AK11">
        <f t="shared" si="0"/>
        <v>85</v>
      </c>
      <c r="AL11">
        <f t="shared" si="0"/>
        <v>86</v>
      </c>
      <c r="AM11">
        <f>AL11+1</f>
        <v>87</v>
      </c>
      <c r="AN11">
        <f t="shared" si="0"/>
        <v>88</v>
      </c>
      <c r="AO11">
        <f t="shared" si="0"/>
        <v>89</v>
      </c>
      <c r="AP11">
        <f t="shared" si="0"/>
        <v>90</v>
      </c>
      <c r="AQ11">
        <f>AP11+1</f>
        <v>91</v>
      </c>
      <c r="AR11">
        <f t="shared" si="0"/>
        <v>92</v>
      </c>
      <c r="AS11">
        <f t="shared" si="0"/>
        <v>93</v>
      </c>
      <c r="AT11">
        <f t="shared" si="0"/>
        <v>94</v>
      </c>
      <c r="AU11">
        <f>AT11+1</f>
        <v>95</v>
      </c>
      <c r="AV11">
        <f t="shared" si="0"/>
        <v>96</v>
      </c>
      <c r="AW11">
        <f t="shared" si="0"/>
        <v>97</v>
      </c>
      <c r="AX11">
        <f t="shared" si="0"/>
        <v>98</v>
      </c>
      <c r="AY11">
        <f>AX11+1</f>
        <v>99</v>
      </c>
      <c r="AZ11">
        <f t="shared" si="0"/>
        <v>100</v>
      </c>
      <c r="BA11">
        <f t="shared" si="0"/>
        <v>101</v>
      </c>
      <c r="BB11">
        <f t="shared" si="0"/>
        <v>102</v>
      </c>
      <c r="BC11">
        <f>BB11+1</f>
        <v>103</v>
      </c>
      <c r="BD11">
        <f t="shared" ref="BD11" si="1">BC11+1</f>
        <v>104</v>
      </c>
      <c r="BE11">
        <f t="shared" ref="BE11" si="2">BD11+1</f>
        <v>105</v>
      </c>
      <c r="BF11">
        <f t="shared" ref="BF11" si="3">BE11+1</f>
        <v>106</v>
      </c>
      <c r="BG11">
        <f>BF11+1</f>
        <v>107</v>
      </c>
      <c r="BH11">
        <f t="shared" ref="BH11" si="4">BG11+1</f>
        <v>108</v>
      </c>
      <c r="BI11">
        <f t="shared" ref="BI11" si="5">BH11+1</f>
        <v>109</v>
      </c>
      <c r="BJ11">
        <f t="shared" ref="BJ11" si="6">BI11+1</f>
        <v>110</v>
      </c>
      <c r="BK11">
        <f t="shared" ref="BK11" si="7">BJ11+1</f>
        <v>111</v>
      </c>
      <c r="BL11">
        <f t="shared" ref="BL11" si="8">BK11+1</f>
        <v>112</v>
      </c>
      <c r="BM11">
        <f t="shared" ref="BM11" si="9">BL11+1</f>
        <v>113</v>
      </c>
      <c r="BN11">
        <f>BM11+1</f>
        <v>114</v>
      </c>
      <c r="BO11">
        <f t="shared" ref="BO11" si="10">BN11+1</f>
        <v>115</v>
      </c>
      <c r="BP11">
        <f t="shared" ref="BP11" si="11">BO11+1</f>
        <v>116</v>
      </c>
      <c r="BQ11">
        <f t="shared" ref="BQ11" si="12">BP11+1</f>
        <v>117</v>
      </c>
      <c r="BR11">
        <f>BQ11+1</f>
        <v>118</v>
      </c>
      <c r="BS11">
        <f t="shared" ref="BS11" si="13">BR11+1</f>
        <v>119</v>
      </c>
      <c r="BT11">
        <f t="shared" ref="BT11" si="14">BS11+1</f>
        <v>120</v>
      </c>
      <c r="BU11">
        <f t="shared" ref="BU11" si="15">BT11+1</f>
        <v>121</v>
      </c>
      <c r="BV11">
        <f>BU11+1</f>
        <v>122</v>
      </c>
      <c r="BW11">
        <f t="shared" ref="BW11" si="16">BV11+1</f>
        <v>123</v>
      </c>
      <c r="BX11">
        <f t="shared" ref="BX11" si="17">BW11+1</f>
        <v>124</v>
      </c>
      <c r="BY11">
        <f t="shared" ref="BY11" si="18">BX11+1</f>
        <v>125</v>
      </c>
      <c r="BZ11">
        <f>BY11+1</f>
        <v>126</v>
      </c>
      <c r="CA11">
        <f t="shared" ref="CA11" si="19">BZ11+1</f>
        <v>127</v>
      </c>
      <c r="CB11">
        <f t="shared" ref="CB11" si="20">CA11+1</f>
        <v>128</v>
      </c>
      <c r="CC11">
        <f t="shared" ref="CC11" si="21">CB11+1</f>
        <v>129</v>
      </c>
      <c r="CD11">
        <f>CC11+1</f>
        <v>130</v>
      </c>
      <c r="CE11">
        <f t="shared" ref="CE11" si="22">CD11+1</f>
        <v>131</v>
      </c>
      <c r="CF11">
        <f t="shared" ref="CF11" si="23">CE11+1</f>
        <v>132</v>
      </c>
      <c r="CG11">
        <f t="shared" ref="CG11" si="24">CF11+1</f>
        <v>133</v>
      </c>
      <c r="CH11">
        <f>CG11+1</f>
        <v>134</v>
      </c>
      <c r="CI11">
        <f t="shared" ref="CI11" si="25">CH11+1</f>
        <v>135</v>
      </c>
      <c r="CJ11">
        <f t="shared" ref="CJ11" si="26">CI11+1</f>
        <v>136</v>
      </c>
      <c r="CK11">
        <f t="shared" ref="CK11" si="27">CJ11+1</f>
        <v>137</v>
      </c>
      <c r="CL11">
        <f>CK11+1</f>
        <v>138</v>
      </c>
      <c r="CM11">
        <f t="shared" ref="CM11" si="28">CL11+1</f>
        <v>139</v>
      </c>
      <c r="CN11">
        <f t="shared" ref="CN11" si="29">CM11+1</f>
        <v>140</v>
      </c>
      <c r="CO11">
        <f t="shared" ref="CO11" si="30">CN11+1</f>
        <v>141</v>
      </c>
      <c r="CP11">
        <f>CO11+1</f>
        <v>142</v>
      </c>
      <c r="CQ11">
        <f t="shared" ref="CQ11" si="31">CP11+1</f>
        <v>143</v>
      </c>
      <c r="CR11">
        <f t="shared" ref="CR11" si="32">CQ11+1</f>
        <v>144</v>
      </c>
      <c r="CS11">
        <f t="shared" ref="CS11" si="33">CR11+1</f>
        <v>145</v>
      </c>
      <c r="CT11">
        <f>CS11+1</f>
        <v>146</v>
      </c>
      <c r="CU11">
        <f t="shared" ref="CU11" si="34">CT11+1</f>
        <v>147</v>
      </c>
      <c r="CV11">
        <f t="shared" ref="CV11" si="35">CU11+1</f>
        <v>148</v>
      </c>
      <c r="CW11">
        <f t="shared" ref="CW11" si="36">CV11+1</f>
        <v>149</v>
      </c>
      <c r="CX11">
        <f>CW11+1</f>
        <v>150</v>
      </c>
      <c r="CY11">
        <f t="shared" ref="CY11" si="37">CX11+1</f>
        <v>151</v>
      </c>
      <c r="CZ11">
        <f t="shared" ref="CZ11" si="38">CY11+1</f>
        <v>152</v>
      </c>
      <c r="DA11">
        <f t="shared" ref="DA11" si="39">CZ11+1</f>
        <v>153</v>
      </c>
      <c r="DB11">
        <f>DA11+1</f>
        <v>154</v>
      </c>
      <c r="DC11">
        <f t="shared" ref="DC11" si="40">DB11+1</f>
        <v>155</v>
      </c>
      <c r="DD11">
        <f t="shared" ref="DD11" si="41">DC11+1</f>
        <v>156</v>
      </c>
      <c r="DE11">
        <f t="shared" ref="DE11" si="42">DD11+1</f>
        <v>157</v>
      </c>
      <c r="DF11">
        <f>DE11+1</f>
        <v>158</v>
      </c>
      <c r="DG11">
        <f t="shared" ref="DG11" si="43">DF11+1</f>
        <v>159</v>
      </c>
      <c r="DH11">
        <f t="shared" ref="DH11" si="44">DG11+1</f>
        <v>160</v>
      </c>
      <c r="DI11">
        <f t="shared" ref="DI11" si="45">DH11+1</f>
        <v>161</v>
      </c>
      <c r="DJ11">
        <f>DI11+1</f>
        <v>162</v>
      </c>
      <c r="DK11">
        <f t="shared" ref="DK11" si="46">DJ11+1</f>
        <v>163</v>
      </c>
      <c r="DL11">
        <f t="shared" ref="DL11" si="47">DK11+1</f>
        <v>164</v>
      </c>
      <c r="DM11">
        <f t="shared" ref="DM11" si="48">DL11+1</f>
        <v>165</v>
      </c>
      <c r="DN11">
        <f>DM11+1</f>
        <v>166</v>
      </c>
      <c r="DO11">
        <f t="shared" ref="DO11" si="49">DN11+1</f>
        <v>167</v>
      </c>
      <c r="DP11">
        <f t="shared" ref="DP11" si="50">DO11+1</f>
        <v>168</v>
      </c>
      <c r="DQ11">
        <f t="shared" ref="DQ11" si="51">DP11+1</f>
        <v>169</v>
      </c>
      <c r="DR11">
        <f>DQ11+1</f>
        <v>170</v>
      </c>
      <c r="DS11">
        <f t="shared" ref="DS11" si="52">DR11+1</f>
        <v>171</v>
      </c>
      <c r="DT11">
        <f t="shared" ref="DT11" si="53">DS11+1</f>
        <v>172</v>
      </c>
      <c r="DU11">
        <f t="shared" ref="DU11" si="54">DT11+1</f>
        <v>173</v>
      </c>
      <c r="DV11">
        <f>DU11+1</f>
        <v>174</v>
      </c>
      <c r="DW11">
        <f t="shared" ref="DW11" si="55">DV11+1</f>
        <v>175</v>
      </c>
      <c r="DX11">
        <f t="shared" ref="DX11" si="56">DW11+1</f>
        <v>176</v>
      </c>
      <c r="DY11">
        <f t="shared" ref="DY11" si="57">DX11+1</f>
        <v>177</v>
      </c>
      <c r="DZ11">
        <f>DY11+1</f>
        <v>178</v>
      </c>
      <c r="EA11">
        <f t="shared" ref="EA11" si="58">DZ11+1</f>
        <v>179</v>
      </c>
      <c r="EB11">
        <f t="shared" ref="EB11" si="59">EA11+1</f>
        <v>180</v>
      </c>
      <c r="EC11">
        <f t="shared" ref="EC11" si="60">EB11+1</f>
        <v>181</v>
      </c>
      <c r="ED11">
        <f t="shared" ref="ED11" si="61">EC11+1</f>
        <v>182</v>
      </c>
      <c r="EE11">
        <f t="shared" ref="EE11" si="62">ED11+1</f>
        <v>183</v>
      </c>
      <c r="EF11">
        <f t="shared" ref="EF11" si="63">EE11+1</f>
        <v>184</v>
      </c>
      <c r="EG11">
        <f>EF11+1</f>
        <v>185</v>
      </c>
      <c r="EH11">
        <f t="shared" ref="EH11" si="64">EG11+1</f>
        <v>186</v>
      </c>
      <c r="EI11">
        <f t="shared" ref="EI11" si="65">EH11+1</f>
        <v>187</v>
      </c>
      <c r="EJ11">
        <f t="shared" ref="EJ11" si="66">EI11+1</f>
        <v>188</v>
      </c>
      <c r="EK11">
        <f>EJ11+1</f>
        <v>189</v>
      </c>
      <c r="EL11">
        <f t="shared" ref="EL11" si="67">EK11+1</f>
        <v>190</v>
      </c>
      <c r="EM11">
        <f t="shared" ref="EM11" si="68">EL11+1</f>
        <v>191</v>
      </c>
      <c r="EN11">
        <f t="shared" ref="EN11" si="69">EM11+1</f>
        <v>192</v>
      </c>
      <c r="EO11">
        <f>EN11+1</f>
        <v>193</v>
      </c>
      <c r="EP11">
        <f t="shared" ref="EP11" si="70">EO11+1</f>
        <v>194</v>
      </c>
      <c r="EQ11">
        <f t="shared" ref="EQ11" si="71">EP11+1</f>
        <v>195</v>
      </c>
      <c r="ER11">
        <f t="shared" ref="ER11" si="72">EQ11+1</f>
        <v>196</v>
      </c>
      <c r="ES11">
        <f>ER11+1</f>
        <v>197</v>
      </c>
      <c r="ET11">
        <f t="shared" ref="ET11" si="73">ES11+1</f>
        <v>198</v>
      </c>
      <c r="EU11">
        <f t="shared" ref="EU11" si="74">ET11+1</f>
        <v>199</v>
      </c>
      <c r="EV11">
        <f t="shared" ref="EV11" si="75">EU11+1</f>
        <v>200</v>
      </c>
      <c r="EW11">
        <f>EV11+1</f>
        <v>201</v>
      </c>
      <c r="EX11">
        <f t="shared" ref="EX11" si="76">EW11+1</f>
        <v>202</v>
      </c>
      <c r="EY11">
        <f t="shared" ref="EY11" si="77">EX11+1</f>
        <v>203</v>
      </c>
      <c r="EZ11">
        <f t="shared" ref="EZ11" si="78">EY11+1</f>
        <v>204</v>
      </c>
      <c r="FA11">
        <f>EZ11+1</f>
        <v>205</v>
      </c>
      <c r="FB11">
        <f t="shared" ref="FB11" si="79">FA11+1</f>
        <v>206</v>
      </c>
      <c r="FC11">
        <f t="shared" ref="FC11" si="80">FB11+1</f>
        <v>207</v>
      </c>
      <c r="FD11">
        <f t="shared" ref="FD11" si="81">FC11+1</f>
        <v>208</v>
      </c>
      <c r="FE11">
        <f>FD11+1</f>
        <v>209</v>
      </c>
      <c r="FF11">
        <f t="shared" ref="FF11" si="82">FE11+1</f>
        <v>210</v>
      </c>
      <c r="FG11">
        <f t="shared" ref="FG11" si="83">FF11+1</f>
        <v>211</v>
      </c>
      <c r="FH11">
        <f t="shared" ref="FH11" si="84">FG11+1</f>
        <v>212</v>
      </c>
      <c r="FI11">
        <f>FH11+1</f>
        <v>213</v>
      </c>
      <c r="FJ11">
        <f t="shared" ref="FJ11" si="85">FI11+1</f>
        <v>214</v>
      </c>
      <c r="FK11">
        <f t="shared" ref="FK11" si="86">FJ11+1</f>
        <v>215</v>
      </c>
      <c r="FL11">
        <f t="shared" ref="FL11" si="87">FK11+1</f>
        <v>216</v>
      </c>
      <c r="FM11">
        <f>FL11+1</f>
        <v>217</v>
      </c>
      <c r="FN11">
        <f t="shared" ref="FN11" si="88">FM11+1</f>
        <v>218</v>
      </c>
      <c r="FO11">
        <f t="shared" ref="FO11" si="89">FN11+1</f>
        <v>219</v>
      </c>
      <c r="FP11">
        <f t="shared" ref="FP11" si="90">FO11+1</f>
        <v>220</v>
      </c>
      <c r="FQ11">
        <f>FP11+1</f>
        <v>221</v>
      </c>
      <c r="FR11">
        <f t="shared" ref="FR11" si="91">FQ11+1</f>
        <v>222</v>
      </c>
      <c r="FS11">
        <f t="shared" ref="FS11" si="92">FR11+1</f>
        <v>223</v>
      </c>
      <c r="FT11">
        <f t="shared" ref="FT11" si="93">FS11+1</f>
        <v>224</v>
      </c>
      <c r="FU11">
        <f>FT11+1</f>
        <v>225</v>
      </c>
      <c r="FV11">
        <f t="shared" ref="FV11" si="94">FU11+1</f>
        <v>226</v>
      </c>
      <c r="FW11">
        <f t="shared" ref="FW11" si="95">FV11+1</f>
        <v>227</v>
      </c>
      <c r="FX11">
        <f t="shared" ref="FX11" si="96">FW11+1</f>
        <v>228</v>
      </c>
      <c r="FY11">
        <f>FX11+1</f>
        <v>229</v>
      </c>
      <c r="FZ11">
        <f t="shared" ref="FZ11" si="97">FY11+1</f>
        <v>230</v>
      </c>
      <c r="GA11">
        <f t="shared" ref="GA11" si="98">FZ11+1</f>
        <v>231</v>
      </c>
      <c r="GB11">
        <f t="shared" ref="GB11" si="99">GA11+1</f>
        <v>232</v>
      </c>
      <c r="GC11">
        <f>GB11+1</f>
        <v>233</v>
      </c>
      <c r="GD11">
        <f t="shared" ref="GD11" si="100">GC11+1</f>
        <v>234</v>
      </c>
      <c r="GE11">
        <f t="shared" ref="GE11" si="101">GD11+1</f>
        <v>235</v>
      </c>
      <c r="GF11">
        <f t="shared" ref="GF11" si="102">GE11+1</f>
        <v>236</v>
      </c>
      <c r="GG11">
        <f>GF11+1</f>
        <v>237</v>
      </c>
      <c r="GH11">
        <f t="shared" ref="GH11" si="103">GG11+1</f>
        <v>238</v>
      </c>
      <c r="GI11">
        <f t="shared" ref="GI11" si="104">GH11+1</f>
        <v>239</v>
      </c>
      <c r="GJ11">
        <f t="shared" ref="GJ11" si="105">GI11+1</f>
        <v>240</v>
      </c>
      <c r="GK11">
        <f>GJ11+1</f>
        <v>241</v>
      </c>
      <c r="GL11">
        <f t="shared" ref="GL11" si="106">GK11+1</f>
        <v>242</v>
      </c>
      <c r="GM11">
        <f t="shared" ref="GM11" si="107">GL11+1</f>
        <v>243</v>
      </c>
      <c r="GN11">
        <f t="shared" ref="GN11" si="108">GM11+1</f>
        <v>244</v>
      </c>
      <c r="GO11">
        <f>GN11+1</f>
        <v>245</v>
      </c>
      <c r="GP11">
        <f t="shared" ref="GP11" si="109">GO11+1</f>
        <v>246</v>
      </c>
      <c r="GQ11">
        <f t="shared" ref="GQ11" si="110">GP11+1</f>
        <v>247</v>
      </c>
      <c r="GR11">
        <f t="shared" ref="GR11" si="111">GQ11+1</f>
        <v>248</v>
      </c>
      <c r="GS11">
        <f>GR11+1</f>
        <v>249</v>
      </c>
      <c r="GT11">
        <f t="shared" ref="GT11" si="112">GS11+1</f>
        <v>250</v>
      </c>
      <c r="GU11">
        <f t="shared" ref="GU11" si="113">GT11+1</f>
        <v>251</v>
      </c>
      <c r="GV11">
        <f t="shared" ref="GV11" si="114">GU11+1</f>
        <v>252</v>
      </c>
      <c r="GW11">
        <f t="shared" ref="GW11" si="115">GV11+1</f>
        <v>253</v>
      </c>
      <c r="GX11">
        <f t="shared" ref="GX11" si="116">GW11+1</f>
        <v>254</v>
      </c>
      <c r="GY11">
        <f t="shared" ref="GY11" si="117">GX11+1</f>
        <v>255</v>
      </c>
      <c r="GZ11">
        <f>GY11+1</f>
        <v>256</v>
      </c>
      <c r="HA11">
        <f t="shared" ref="HA11" si="118">GZ11+1</f>
        <v>257</v>
      </c>
      <c r="HB11">
        <f t="shared" ref="HB11" si="119">HA11+1</f>
        <v>258</v>
      </c>
      <c r="HC11">
        <f t="shared" ref="HC11" si="120">HB11+1</f>
        <v>259</v>
      </c>
      <c r="HD11">
        <f>HC11+1</f>
        <v>260</v>
      </c>
      <c r="HE11">
        <f t="shared" ref="HE11" si="121">HD11+1</f>
        <v>261</v>
      </c>
      <c r="HF11">
        <f t="shared" ref="HF11" si="122">HE11+1</f>
        <v>262</v>
      </c>
      <c r="HG11">
        <f t="shared" ref="HG11" si="123">HF11+1</f>
        <v>263</v>
      </c>
      <c r="HH11">
        <f>HG11+1</f>
        <v>264</v>
      </c>
      <c r="HI11">
        <f t="shared" ref="HI11" si="124">HH11+1</f>
        <v>265</v>
      </c>
      <c r="HJ11">
        <f t="shared" ref="HJ11" si="125">HI11+1</f>
        <v>266</v>
      </c>
      <c r="HK11">
        <f t="shared" ref="HK11" si="126">HJ11+1</f>
        <v>267</v>
      </c>
      <c r="HL11">
        <f>HK11+1</f>
        <v>268</v>
      </c>
      <c r="HM11">
        <f t="shared" ref="HM11" si="127">HL11+1</f>
        <v>269</v>
      </c>
      <c r="HN11">
        <f t="shared" ref="HN11" si="128">HM11+1</f>
        <v>270</v>
      </c>
      <c r="HO11">
        <f t="shared" ref="HO11" si="129">HN11+1</f>
        <v>271</v>
      </c>
      <c r="HP11">
        <f>HO11+1</f>
        <v>272</v>
      </c>
      <c r="HQ11">
        <f t="shared" ref="HQ11" si="130">HP11+1</f>
        <v>273</v>
      </c>
      <c r="HR11">
        <f t="shared" ref="HR11" si="131">HQ11+1</f>
        <v>274</v>
      </c>
      <c r="HS11">
        <f t="shared" ref="HS11" si="132">HR11+1</f>
        <v>275</v>
      </c>
      <c r="HT11">
        <f>HS11+1</f>
        <v>276</v>
      </c>
      <c r="HU11">
        <f t="shared" ref="HU11" si="133">HT11+1</f>
        <v>277</v>
      </c>
      <c r="HV11">
        <f t="shared" ref="HV11" si="134">HU11+1</f>
        <v>278</v>
      </c>
      <c r="HW11">
        <f t="shared" ref="HW11" si="135">HV11+1</f>
        <v>279</v>
      </c>
      <c r="HX11">
        <f>HW11+1</f>
        <v>280</v>
      </c>
      <c r="HY11">
        <f t="shared" ref="HY11" si="136">HX11+1</f>
        <v>281</v>
      </c>
      <c r="HZ11">
        <f t="shared" ref="HZ11" si="137">HY11+1</f>
        <v>282</v>
      </c>
      <c r="IA11">
        <f t="shared" ref="IA11" si="138">HZ11+1</f>
        <v>283</v>
      </c>
      <c r="IB11">
        <f>IA11+1</f>
        <v>284</v>
      </c>
      <c r="IC11">
        <f t="shared" ref="IC11" si="139">IB11+1</f>
        <v>285</v>
      </c>
      <c r="ID11">
        <f t="shared" ref="ID11" si="140">IC11+1</f>
        <v>286</v>
      </c>
      <c r="IE11">
        <f t="shared" ref="IE11" si="141">ID11+1</f>
        <v>287</v>
      </c>
      <c r="IF11">
        <f>IE11+1</f>
        <v>288</v>
      </c>
      <c r="IG11">
        <f t="shared" ref="IG11" si="142">IF11+1</f>
        <v>289</v>
      </c>
      <c r="IH11">
        <f t="shared" ref="IH11" si="143">IG11+1</f>
        <v>290</v>
      </c>
      <c r="II11">
        <f t="shared" ref="II11" si="144">IH11+1</f>
        <v>291</v>
      </c>
      <c r="IJ11">
        <f>II11+1</f>
        <v>292</v>
      </c>
      <c r="IK11">
        <f t="shared" ref="IK11" si="145">IJ11+1</f>
        <v>293</v>
      </c>
      <c r="IL11">
        <f t="shared" ref="IL11" si="146">IK11+1</f>
        <v>294</v>
      </c>
      <c r="IM11">
        <f t="shared" ref="IM11" si="147">IL11+1</f>
        <v>295</v>
      </c>
      <c r="IN11">
        <f>IM11+1</f>
        <v>296</v>
      </c>
      <c r="IO11">
        <f t="shared" ref="IO11" si="148">IN11+1</f>
        <v>297</v>
      </c>
      <c r="IP11">
        <f t="shared" ref="IP11" si="149">IO11+1</f>
        <v>298</v>
      </c>
      <c r="IQ11">
        <f t="shared" ref="IQ11" si="150">IP11+1</f>
        <v>299</v>
      </c>
      <c r="IR11">
        <f>IQ11+1</f>
        <v>300</v>
      </c>
      <c r="IS11">
        <f t="shared" ref="IS11" si="151">IR11+1</f>
        <v>301</v>
      </c>
      <c r="IT11">
        <f t="shared" ref="IT11" si="152">IS11+1</f>
        <v>302</v>
      </c>
      <c r="IU11">
        <f t="shared" ref="IU11" si="153">IT11+1</f>
        <v>303</v>
      </c>
      <c r="IV11">
        <f>IU11+1</f>
        <v>304</v>
      </c>
      <c r="IW11">
        <f t="shared" ref="IW11" si="154">IV11+1</f>
        <v>305</v>
      </c>
      <c r="IX11">
        <f t="shared" ref="IX11" si="155">IW11+1</f>
        <v>306</v>
      </c>
      <c r="IY11">
        <f t="shared" ref="IY11" si="156">IX11+1</f>
        <v>307</v>
      </c>
      <c r="IZ11">
        <f>IY11+1</f>
        <v>308</v>
      </c>
      <c r="JA11">
        <f t="shared" ref="JA11" si="157">IZ11+1</f>
        <v>309</v>
      </c>
      <c r="JB11">
        <f t="shared" ref="JB11" si="158">JA11+1</f>
        <v>310</v>
      </c>
      <c r="JC11">
        <f t="shared" ref="JC11" si="159">JB11+1</f>
        <v>311</v>
      </c>
      <c r="JD11">
        <f>JC11+1</f>
        <v>312</v>
      </c>
      <c r="JE11">
        <f t="shared" ref="JE11" si="160">JD11+1</f>
        <v>313</v>
      </c>
      <c r="JF11">
        <f t="shared" ref="JF11" si="161">JE11+1</f>
        <v>314</v>
      </c>
      <c r="JG11">
        <f t="shared" ref="JG11" si="162">JF11+1</f>
        <v>315</v>
      </c>
      <c r="JH11">
        <f>JG11+1</f>
        <v>316</v>
      </c>
      <c r="JI11">
        <f t="shared" ref="JI11" si="163">JH11+1</f>
        <v>317</v>
      </c>
      <c r="JJ11">
        <f t="shared" ref="JJ11" si="164">JI11+1</f>
        <v>318</v>
      </c>
      <c r="JK11">
        <f t="shared" ref="JK11" si="165">JJ11+1</f>
        <v>319</v>
      </c>
      <c r="JL11">
        <f>JK11+1</f>
        <v>320</v>
      </c>
      <c r="JM11">
        <f t="shared" ref="JM11" si="166">JL11+1</f>
        <v>321</v>
      </c>
      <c r="JN11">
        <f t="shared" ref="JN11" si="167">JM11+1</f>
        <v>322</v>
      </c>
      <c r="JO11">
        <f t="shared" ref="JO11" si="168">JN11+1</f>
        <v>323</v>
      </c>
      <c r="JP11">
        <f t="shared" ref="JP11" si="169">JO11+1</f>
        <v>324</v>
      </c>
      <c r="JQ11">
        <f t="shared" ref="JQ11" si="170">JP11+1</f>
        <v>325</v>
      </c>
      <c r="JR11">
        <f t="shared" ref="JR11" si="171">JQ11+1</f>
        <v>326</v>
      </c>
      <c r="JS11">
        <f>JR11+1</f>
        <v>327</v>
      </c>
      <c r="JT11">
        <f t="shared" ref="JT11" si="172">JS11+1</f>
        <v>328</v>
      </c>
      <c r="JU11">
        <f t="shared" ref="JU11" si="173">JT11+1</f>
        <v>329</v>
      </c>
      <c r="JV11">
        <f t="shared" ref="JV11" si="174">JU11+1</f>
        <v>330</v>
      </c>
      <c r="JW11">
        <f>JV11+1</f>
        <v>331</v>
      </c>
      <c r="JX11">
        <f t="shared" ref="JX11" si="175">JW11+1</f>
        <v>332</v>
      </c>
      <c r="JY11">
        <f t="shared" ref="JY11" si="176">JX11+1</f>
        <v>333</v>
      </c>
      <c r="JZ11">
        <f t="shared" ref="JZ11" si="177">JY11+1</f>
        <v>334</v>
      </c>
      <c r="KA11">
        <f t="shared" ref="KA11" si="178">JZ11+1</f>
        <v>335</v>
      </c>
      <c r="KB11">
        <f t="shared" ref="KB11" si="179">KA11+1</f>
        <v>336</v>
      </c>
      <c r="KC11">
        <f>KB11+1</f>
        <v>337</v>
      </c>
      <c r="KD11">
        <f t="shared" ref="KD11" si="180">KC11+1</f>
        <v>338</v>
      </c>
      <c r="KE11">
        <f t="shared" ref="KE11" si="181">KD11+1</f>
        <v>339</v>
      </c>
      <c r="KF11">
        <f t="shared" ref="KF11" si="182">KE11+1</f>
        <v>340</v>
      </c>
      <c r="KG11">
        <f>KF11+1</f>
        <v>341</v>
      </c>
      <c r="KH11">
        <f t="shared" ref="KH11" si="183">KG11+1</f>
        <v>342</v>
      </c>
      <c r="KI11">
        <f t="shared" ref="KI11" si="184">KH11+1</f>
        <v>343</v>
      </c>
      <c r="KJ11">
        <f t="shared" ref="KJ11" si="185">KI11+1</f>
        <v>344</v>
      </c>
      <c r="KK11">
        <f t="shared" ref="KK11" si="186">KJ11+1</f>
        <v>345</v>
      </c>
      <c r="KL11">
        <f t="shared" ref="KL11" si="187">KK11+1</f>
        <v>346</v>
      </c>
      <c r="KM11">
        <f t="shared" ref="KM11" si="188">KL11+1</f>
        <v>347</v>
      </c>
      <c r="KN11">
        <f>KM11+1</f>
        <v>348</v>
      </c>
      <c r="KO11">
        <f t="shared" ref="KO11" si="189">KN11+1</f>
        <v>349</v>
      </c>
      <c r="KP11">
        <f t="shared" ref="KP11" si="190">KO11+1</f>
        <v>350</v>
      </c>
      <c r="KQ11">
        <f t="shared" ref="KQ11" si="191">KP11+1</f>
        <v>351</v>
      </c>
      <c r="KR11">
        <f>KQ11+1</f>
        <v>352</v>
      </c>
      <c r="KS11">
        <f t="shared" ref="KS11" si="192">KR11+1</f>
        <v>353</v>
      </c>
      <c r="KT11">
        <f t="shared" ref="KT11" si="193">KS11+1</f>
        <v>354</v>
      </c>
      <c r="KU11">
        <f t="shared" ref="KU11" si="194">KT11+1</f>
        <v>355</v>
      </c>
      <c r="KV11">
        <f>KU11+1</f>
        <v>356</v>
      </c>
      <c r="KW11">
        <f t="shared" ref="KW11" si="195">KV11+1</f>
        <v>357</v>
      </c>
      <c r="KX11">
        <f t="shared" ref="KX11" si="196">KW11+1</f>
        <v>358</v>
      </c>
      <c r="KY11">
        <f t="shared" ref="KY11" si="197">KX11+1</f>
        <v>359</v>
      </c>
      <c r="KZ11">
        <f>KY11+1</f>
        <v>360</v>
      </c>
      <c r="LA11">
        <f t="shared" ref="LA11" si="198">KZ11+1</f>
        <v>361</v>
      </c>
      <c r="LB11">
        <f t="shared" ref="LB11" si="199">LA11+1</f>
        <v>362</v>
      </c>
      <c r="LC11">
        <f t="shared" ref="LC11" si="200">LB11+1</f>
        <v>363</v>
      </c>
      <c r="LD11">
        <f>LC11+1</f>
        <v>364</v>
      </c>
      <c r="LE11">
        <f t="shared" ref="LE11" si="201">LD11+1</f>
        <v>365</v>
      </c>
      <c r="LF11">
        <f t="shared" ref="LF11" si="202">LE11+1</f>
        <v>366</v>
      </c>
      <c r="LG11">
        <f t="shared" ref="LG11" si="203">LF11+1</f>
        <v>367</v>
      </c>
      <c r="LH11">
        <f>LG11+1</f>
        <v>368</v>
      </c>
      <c r="LI11">
        <f t="shared" ref="LI11" si="204">LH11+1</f>
        <v>369</v>
      </c>
      <c r="LJ11">
        <f t="shared" ref="LJ11" si="205">LI11+1</f>
        <v>370</v>
      </c>
      <c r="LK11">
        <f t="shared" ref="LK11" si="206">LJ11+1</f>
        <v>371</v>
      </c>
      <c r="LL11">
        <f>LK11+1</f>
        <v>372</v>
      </c>
      <c r="LM11">
        <f t="shared" ref="LM11" si="207">LL11+1</f>
        <v>373</v>
      </c>
      <c r="LN11">
        <f t="shared" ref="LN11" si="208">LM11+1</f>
        <v>374</v>
      </c>
      <c r="LO11">
        <f t="shared" ref="LO11" si="209">LN11+1</f>
        <v>375</v>
      </c>
      <c r="LP11">
        <f>LO11+1</f>
        <v>376</v>
      </c>
      <c r="LQ11">
        <f t="shared" ref="LQ11" si="210">LP11+1</f>
        <v>377</v>
      </c>
      <c r="LR11">
        <f t="shared" ref="LR11" si="211">LQ11+1</f>
        <v>378</v>
      </c>
      <c r="LS11">
        <f t="shared" ref="LS11" si="212">LR11+1</f>
        <v>379</v>
      </c>
      <c r="LT11">
        <f>LS11+1</f>
        <v>380</v>
      </c>
      <c r="LU11">
        <f t="shared" ref="LU11" si="213">LT11+1</f>
        <v>381</v>
      </c>
      <c r="LV11">
        <f t="shared" ref="LV11" si="214">LU11+1</f>
        <v>382</v>
      </c>
      <c r="LW11">
        <f t="shared" ref="LW11" si="215">LV11+1</f>
        <v>383</v>
      </c>
      <c r="LX11">
        <f>LW11+1</f>
        <v>384</v>
      </c>
      <c r="LY11">
        <f t="shared" ref="LY11" si="216">LX11+1</f>
        <v>385</v>
      </c>
      <c r="LZ11">
        <f t="shared" ref="LZ11" si="217">LY11+1</f>
        <v>386</v>
      </c>
      <c r="MA11">
        <f t="shared" ref="MA11" si="218">LZ11+1</f>
        <v>387</v>
      </c>
      <c r="MB11">
        <f>MA11+1</f>
        <v>388</v>
      </c>
      <c r="MC11">
        <f t="shared" ref="MC11" si="219">MB11+1</f>
        <v>389</v>
      </c>
      <c r="MD11">
        <f t="shared" ref="MD11" si="220">MC11+1</f>
        <v>390</v>
      </c>
      <c r="ME11">
        <f t="shared" ref="ME11" si="221">MD11+1</f>
        <v>391</v>
      </c>
      <c r="MF11">
        <f>ME11+1</f>
        <v>392</v>
      </c>
      <c r="MG11">
        <f t="shared" ref="MG11" si="222">MF11+1</f>
        <v>393</v>
      </c>
      <c r="MH11">
        <f t="shared" ref="MH11" si="223">MG11+1</f>
        <v>394</v>
      </c>
      <c r="MI11">
        <f t="shared" ref="MI11" si="224">MH11+1</f>
        <v>395</v>
      </c>
      <c r="MJ11">
        <f>MI11+1</f>
        <v>396</v>
      </c>
      <c r="MK11">
        <f t="shared" ref="MK11" si="225">MJ11+1</f>
        <v>397</v>
      </c>
      <c r="ML11">
        <f t="shared" ref="ML11" si="226">MK11+1</f>
        <v>398</v>
      </c>
      <c r="MM11">
        <f t="shared" ref="MM11" si="227">ML11+1</f>
        <v>399</v>
      </c>
      <c r="MN11">
        <f>MM11+1</f>
        <v>400</v>
      </c>
      <c r="MO11">
        <f t="shared" ref="MO11" si="228">MN11+1</f>
        <v>401</v>
      </c>
      <c r="MP11">
        <f t="shared" ref="MP11" si="229">MO11+1</f>
        <v>402</v>
      </c>
      <c r="MQ11">
        <f t="shared" ref="MQ11" si="230">MP11+1</f>
        <v>403</v>
      </c>
      <c r="MR11">
        <f>MQ11+1</f>
        <v>404</v>
      </c>
      <c r="MS11">
        <f t="shared" ref="MS11" si="231">MR11+1</f>
        <v>405</v>
      </c>
      <c r="MT11">
        <f t="shared" ref="MT11" si="232">MS11+1</f>
        <v>406</v>
      </c>
      <c r="MU11">
        <f t="shared" ref="MU11" si="233">MT11+1</f>
        <v>407</v>
      </c>
      <c r="MV11">
        <f>MU11+1</f>
        <v>408</v>
      </c>
      <c r="MW11">
        <f t="shared" ref="MW11" si="234">MV11+1</f>
        <v>409</v>
      </c>
      <c r="MX11">
        <f t="shared" ref="MX11" si="235">MW11+1</f>
        <v>410</v>
      </c>
      <c r="MY11">
        <f t="shared" ref="MY11" si="236">MX11+1</f>
        <v>411</v>
      </c>
      <c r="MZ11">
        <f>MY11+1</f>
        <v>412</v>
      </c>
      <c r="NA11">
        <f t="shared" ref="NA11" si="237">MZ11+1</f>
        <v>413</v>
      </c>
      <c r="NB11">
        <f t="shared" ref="NB11" si="238">NA11+1</f>
        <v>414</v>
      </c>
      <c r="NC11">
        <f t="shared" ref="NC11" si="239">NB11+1</f>
        <v>415</v>
      </c>
      <c r="ND11">
        <f t="shared" ref="ND11" si="240">NC11+1</f>
        <v>416</v>
      </c>
      <c r="NE11">
        <f t="shared" ref="NE11" si="241">ND11+1</f>
        <v>417</v>
      </c>
      <c r="NF11">
        <f t="shared" ref="NF11" si="242">NE11+1</f>
        <v>418</v>
      </c>
      <c r="NG11">
        <f>NF11+1</f>
        <v>419</v>
      </c>
      <c r="NH11">
        <f t="shared" ref="NH11" si="243">NG11+1</f>
        <v>420</v>
      </c>
      <c r="NI11">
        <f t="shared" ref="NI11" si="244">NH11+1</f>
        <v>421</v>
      </c>
      <c r="NJ11">
        <f t="shared" ref="NJ11" si="245">NI11+1</f>
        <v>422</v>
      </c>
      <c r="NK11">
        <f>NJ11+1</f>
        <v>423</v>
      </c>
      <c r="NL11">
        <f t="shared" ref="NL11" si="246">NK11+1</f>
        <v>424</v>
      </c>
      <c r="NM11">
        <f t="shared" ref="NM11" si="247">NL11+1</f>
        <v>425</v>
      </c>
      <c r="NN11">
        <f t="shared" ref="NN11" si="248">NM11+1</f>
        <v>426</v>
      </c>
      <c r="NO11">
        <f>NN11+1</f>
        <v>427</v>
      </c>
      <c r="NP11">
        <f t="shared" ref="NP11" si="249">NO11+1</f>
        <v>428</v>
      </c>
      <c r="NQ11">
        <f t="shared" ref="NQ11" si="250">NP11+1</f>
        <v>429</v>
      </c>
      <c r="NR11">
        <f t="shared" ref="NR11" si="251">NQ11+1</f>
        <v>430</v>
      </c>
      <c r="NS11">
        <f>NR11+1</f>
        <v>431</v>
      </c>
      <c r="NT11">
        <f t="shared" ref="NT11" si="252">NS11+1</f>
        <v>432</v>
      </c>
      <c r="NU11">
        <f t="shared" ref="NU11" si="253">NT11+1</f>
        <v>433</v>
      </c>
      <c r="NV11">
        <f t="shared" ref="NV11" si="254">NU11+1</f>
        <v>434</v>
      </c>
      <c r="NW11">
        <f>NV11+1</f>
        <v>435</v>
      </c>
      <c r="NX11">
        <f t="shared" ref="NX11" si="255">NW11+1</f>
        <v>436</v>
      </c>
      <c r="NY11">
        <f t="shared" ref="NY11" si="256">NX11+1</f>
        <v>437</v>
      </c>
      <c r="NZ11">
        <f t="shared" ref="NZ11" si="257">NY11+1</f>
        <v>438</v>
      </c>
      <c r="OA11">
        <f>NZ11+1</f>
        <v>439</v>
      </c>
      <c r="OB11">
        <f t="shared" ref="OB11" si="258">OA11+1</f>
        <v>440</v>
      </c>
      <c r="OC11">
        <f t="shared" ref="OC11" si="259">OB11+1</f>
        <v>441</v>
      </c>
      <c r="OD11">
        <f t="shared" ref="OD11" si="260">OC11+1</f>
        <v>442</v>
      </c>
      <c r="OE11">
        <f>OD11+1</f>
        <v>443</v>
      </c>
      <c r="OF11">
        <f t="shared" ref="OF11" si="261">OE11+1</f>
        <v>444</v>
      </c>
      <c r="OG11">
        <f t="shared" ref="OG11" si="262">OF11+1</f>
        <v>445</v>
      </c>
      <c r="OH11">
        <f t="shared" ref="OH11" si="263">OG11+1</f>
        <v>446</v>
      </c>
      <c r="OI11">
        <f>OH11+1</f>
        <v>447</v>
      </c>
      <c r="OJ11">
        <f t="shared" ref="OJ11" si="264">OI11+1</f>
        <v>448</v>
      </c>
      <c r="OK11">
        <f t="shared" ref="OK11" si="265">OJ11+1</f>
        <v>449</v>
      </c>
      <c r="OL11">
        <f t="shared" ref="OL11" si="266">OK11+1</f>
        <v>450</v>
      </c>
      <c r="OM11">
        <f>OL11+1</f>
        <v>451</v>
      </c>
      <c r="ON11">
        <f t="shared" ref="ON11" si="267">OM11+1</f>
        <v>452</v>
      </c>
      <c r="OO11">
        <f t="shared" ref="OO11" si="268">ON11+1</f>
        <v>453</v>
      </c>
      <c r="OP11">
        <f t="shared" ref="OP11" si="269">OO11+1</f>
        <v>454</v>
      </c>
      <c r="OQ11">
        <f>OP11+1</f>
        <v>455</v>
      </c>
      <c r="OR11">
        <f t="shared" ref="OR11" si="270">OQ11+1</f>
        <v>456</v>
      </c>
      <c r="OS11">
        <f t="shared" ref="OS11" si="271">OR11+1</f>
        <v>457</v>
      </c>
      <c r="OT11">
        <f t="shared" ref="OT11" si="272">OS11+1</f>
        <v>458</v>
      </c>
      <c r="OU11">
        <f>OT11+1</f>
        <v>459</v>
      </c>
      <c r="OV11">
        <f t="shared" ref="OV11" si="273">OU11+1</f>
        <v>460</v>
      </c>
      <c r="OW11">
        <f t="shared" ref="OW11" si="274">OV11+1</f>
        <v>461</v>
      </c>
      <c r="OX11">
        <f t="shared" ref="OX11" si="275">OW11+1</f>
        <v>462</v>
      </c>
      <c r="OY11">
        <f>OX11+1</f>
        <v>463</v>
      </c>
      <c r="OZ11">
        <f t="shared" ref="OZ11" si="276">OY11+1</f>
        <v>464</v>
      </c>
      <c r="PA11">
        <f t="shared" ref="PA11" si="277">OZ11+1</f>
        <v>465</v>
      </c>
      <c r="PB11">
        <f t="shared" ref="PB11" si="278">PA11+1</f>
        <v>466</v>
      </c>
      <c r="PC11">
        <f>PB11+1</f>
        <v>467</v>
      </c>
      <c r="PD11">
        <f t="shared" ref="PD11" si="279">PC11+1</f>
        <v>468</v>
      </c>
      <c r="PE11">
        <f t="shared" ref="PE11" si="280">PD11+1</f>
        <v>469</v>
      </c>
      <c r="PF11">
        <f t="shared" ref="PF11" si="281">PE11+1</f>
        <v>470</v>
      </c>
      <c r="PG11">
        <f>PF11+1</f>
        <v>471</v>
      </c>
      <c r="PH11">
        <f t="shared" ref="PH11" si="282">PG11+1</f>
        <v>472</v>
      </c>
      <c r="PI11">
        <f t="shared" ref="PI11" si="283">PH11+1</f>
        <v>473</v>
      </c>
      <c r="PJ11">
        <f t="shared" ref="PJ11" si="284">PI11+1</f>
        <v>474</v>
      </c>
      <c r="PK11">
        <f>PJ11+1</f>
        <v>475</v>
      </c>
      <c r="PL11">
        <f t="shared" ref="PL11" si="285">PK11+1</f>
        <v>476</v>
      </c>
      <c r="PM11">
        <f t="shared" ref="PM11" si="286">PL11+1</f>
        <v>477</v>
      </c>
      <c r="PN11">
        <f t="shared" ref="PN11" si="287">PM11+1</f>
        <v>478</v>
      </c>
      <c r="PO11">
        <f>PN11+1</f>
        <v>479</v>
      </c>
      <c r="PP11">
        <f t="shared" ref="PP11" si="288">PO11+1</f>
        <v>480</v>
      </c>
      <c r="PQ11">
        <f t="shared" ref="PQ11" si="289">PP11+1</f>
        <v>481</v>
      </c>
      <c r="PR11">
        <f t="shared" ref="PR11" si="290">PQ11+1</f>
        <v>482</v>
      </c>
      <c r="PS11">
        <f>PR11+1</f>
        <v>483</v>
      </c>
      <c r="PT11">
        <f t="shared" ref="PT11" si="291">PS11+1</f>
        <v>484</v>
      </c>
      <c r="PU11">
        <f t="shared" ref="PU11" si="292">PT11+1</f>
        <v>485</v>
      </c>
      <c r="PV11">
        <f t="shared" ref="PV11" si="293">PU11+1</f>
        <v>486</v>
      </c>
      <c r="PW11">
        <f t="shared" ref="PW11" si="294">PV11+1</f>
        <v>487</v>
      </c>
      <c r="PX11">
        <f t="shared" ref="PX11" si="295">PW11+1</f>
        <v>488</v>
      </c>
      <c r="PY11">
        <f t="shared" ref="PY11" si="296">PX11+1</f>
        <v>489</v>
      </c>
      <c r="PZ11">
        <f>PY11+1</f>
        <v>490</v>
      </c>
      <c r="QA11">
        <f t="shared" ref="QA11" si="297">PZ11+1</f>
        <v>491</v>
      </c>
      <c r="QB11">
        <f t="shared" ref="QB11" si="298">QA11+1</f>
        <v>492</v>
      </c>
      <c r="QC11">
        <f t="shared" ref="QC11" si="299">QB11+1</f>
        <v>493</v>
      </c>
      <c r="QD11">
        <f>QC11+1</f>
        <v>494</v>
      </c>
      <c r="QE11">
        <f t="shared" ref="QE11" si="300">QD11+1</f>
        <v>495</v>
      </c>
      <c r="QF11">
        <f t="shared" ref="QF11" si="301">QE11+1</f>
        <v>496</v>
      </c>
      <c r="QG11">
        <f t="shared" ref="QG11" si="302">QF11+1</f>
        <v>497</v>
      </c>
      <c r="QH11">
        <f t="shared" ref="QH11" si="303">QG11+1</f>
        <v>498</v>
      </c>
      <c r="QI11">
        <f t="shared" ref="QI11" si="304">QH11+1</f>
        <v>499</v>
      </c>
      <c r="QJ11">
        <f t="shared" ref="QJ11" si="305">QI11+1</f>
        <v>500</v>
      </c>
    </row>
    <row r="12" spans="1:452" x14ac:dyDescent="0.3">
      <c r="A12" t="s">
        <v>18</v>
      </c>
      <c r="B12" cm="1">
        <f t="array" ref="B12">BinomialTreeCall(K, S, T, rate, vol, Principal, B11)</f>
        <v>396883.33105571312</v>
      </c>
      <c r="C12" cm="1">
        <f t="array" ref="C12">BinomialTreeCall(K, S, T, rate, vol, Principal, C11)</f>
        <v>396053.18798047613</v>
      </c>
      <c r="D12" cm="1">
        <f t="array" ref="D12">BinomialTreeCall(K, S, T, rate, vol, Principal, D11)</f>
        <v>397259.37517189368</v>
      </c>
      <c r="E12" cm="1">
        <f t="array" ref="E12">BinomialTreeCall(K, S, T, rate, vol, Principal, E11)</f>
        <v>395450.2551521312</v>
      </c>
      <c r="F12" cm="1">
        <f t="array" ref="F12">BinomialTreeCall(K, S, T, rate, vol, Principal, F11)</f>
        <v>397519.99749250128</v>
      </c>
      <c r="G12" cm="1">
        <f t="array" ref="G12">BinomialTreeCall(K, S, T, rate, vol, Principal, G11)</f>
        <v>394819.97751955403</v>
      </c>
      <c r="H12" cm="1">
        <f t="array" ref="H12">BinomialTreeCall(K, S, T, rate, vol, Principal, H11)</f>
        <v>397681.55328641611</v>
      </c>
      <c r="I12" cm="1">
        <f t="array" ref="I12">BinomialTreeCall(K, S, T, rate, vol, Principal, I11)</f>
        <v>394168.84359254327</v>
      </c>
      <c r="J12" cm="1">
        <f t="array" ref="J12">BinomialTreeCall(K, S, T, rate, vol, Principal, J11)</f>
        <v>397757.88310347981</v>
      </c>
      <c r="K12" cm="1">
        <f t="array" ref="K12">BinomialTreeCall(K, S, T, rate, vol, Principal, K11)</f>
        <v>393502.17865252728</v>
      </c>
      <c r="L12" cm="1">
        <f t="array" ref="L12">BinomialTreeCall(K, S, T, rate, vol, Principal, L11)</f>
        <v>397760.75053137622</v>
      </c>
      <c r="M12" cm="1">
        <f t="array" ref="M12">BinomialTreeCall(K, S, T, rate, vol, Principal, M11)</f>
        <v>393456.03676293563</v>
      </c>
      <c r="N12" cm="1">
        <f t="array" ref="N12">BinomialTreeCall(K, S, T, rate, vol, Principal, N11)</f>
        <v>397700.19432056684</v>
      </c>
      <c r="O12" cm="1">
        <f t="array" ref="O12">BinomialTreeCall(K, S, T, rate, vol, Principal, O11)</f>
        <v>394207.0332866747</v>
      </c>
      <c r="P12" cm="1">
        <f t="array" ref="P12">BinomialTreeCall(K, S, T, rate, vol, Principal, P11)</f>
        <v>397584.81344687432</v>
      </c>
      <c r="Q12" cm="1">
        <f t="array" ref="Q12">BinomialTreeCall(K, S, T, rate, vol, Principal, Q11)</f>
        <v>394850.03005636611</v>
      </c>
      <c r="R12" cm="1">
        <f t="array" ref="R12">BinomialTreeCall(K, S, T, rate, vol, Principal, R11)</f>
        <v>397421.99927520257</v>
      </c>
      <c r="S12" cm="1">
        <f t="array" ref="S12">BinomialTreeCall(K, S, T, rate, vol, Principal, S11)</f>
        <v>395396.8046575411</v>
      </c>
      <c r="T12" cm="1">
        <f t="array" ref="T12">BinomialTreeCall(K, S, T, rate, vol, Principal, T11)</f>
        <v>397218.1257112954</v>
      </c>
      <c r="U12" cm="1">
        <f t="array" ref="U12">BinomialTreeCall(K, S, T, rate, vol, Principal, U11)</f>
        <v>395857.68024773884</v>
      </c>
      <c r="V12" cm="1">
        <f t="array" ref="V12">BinomialTreeCall(K, S, T, rate, vol, Principal, V11)</f>
        <v>396978.70577406895</v>
      </c>
      <c r="W12" cm="1">
        <f t="array" ref="W12">BinomialTreeCall(K, S, T, rate, vol, Principal, W11)</f>
        <v>396241.73205830448</v>
      </c>
      <c r="X12" cm="1">
        <f t="array" ref="X12">BinomialTreeCall(K, S, T, rate, vol, Principal, X11)</f>
        <v>396708.52116645162</v>
      </c>
      <c r="Y12" cm="1">
        <f t="array" ref="Y12">BinomialTreeCall(K, S, T, rate, vol, Principal, Y11)</f>
        <v>396556.96066804731</v>
      </c>
      <c r="Z12" cm="1">
        <f t="array" ref="Z12">BinomialTreeCall(K, S, T, rate, vol, Principal, Z11)</f>
        <v>396411.73000968678</v>
      </c>
      <c r="AA12" cm="1">
        <f t="array" ref="AA12">BinomialTreeCall(K, S, T, rate, vol, Principal, AA11)</f>
        <v>396810.43800961546</v>
      </c>
      <c r="AB12" cm="1">
        <f t="array" ref="AB12">BinomialTreeCall(K, S, T, rate, vol, Principal, AB11)</f>
        <v>396091.956822721</v>
      </c>
      <c r="AC12" cm="1">
        <f t="array" ref="AC12">BinomialTreeCall(K, S, T, rate, vol, Principal, AC11)</f>
        <v>397008.43089564802</v>
      </c>
      <c r="AD12" cm="1">
        <f t="array" ref="AD12">BinomialTreeCall(K, S, T, rate, vol, Principal, AD11)</f>
        <v>395752.36799181852</v>
      </c>
      <c r="AE12" cm="1">
        <f t="array" ref="AE12">BinomialTreeCall(K, S, T, rate, vol, Principal, AE11)</f>
        <v>397156.50592605054</v>
      </c>
      <c r="AF12" cm="1">
        <f t="array" ref="AF12">BinomialTreeCall(K, S, T, rate, vol, Principal, AF11)</f>
        <v>395395.73532450938</v>
      </c>
      <c r="AG12" cm="1">
        <f t="array" ref="AG12">BinomialTreeCall(K, S, T, rate, vol, Principal, AG11)</f>
        <v>397259.61890874762</v>
      </c>
      <c r="AH12" cm="1">
        <f t="array" ref="AH12">BinomialTreeCall(K, S, T, rate, vol, Principal, AH11)</f>
        <v>395024.48977329</v>
      </c>
      <c r="AI12" cm="1">
        <f t="array" ref="AI12">BinomialTreeCall(K, S, T, rate, vol, Principal, AI11)</f>
        <v>397322.19134597154</v>
      </c>
      <c r="AJ12" cm="1">
        <f t="array" ref="AJ12">BinomialTreeCall(K, S, T, rate, vol, Principal, AJ11)</f>
        <v>394640.7670141994</v>
      </c>
      <c r="AK12" cm="1">
        <f t="array" ref="AK12">BinomialTreeCall(K, S, T, rate, vol, Principal, AK11)</f>
        <v>397348.17607471073</v>
      </c>
      <c r="AL12" cm="1">
        <f t="array" ref="AL12">BinomialTreeCall(K, S, T, rate, vol, Principal, AL11)</f>
        <v>394246.44624802296</v>
      </c>
      <c r="AM12" cm="1">
        <f t="array" ref="AM12">BinomialTreeCall(K, S, T, rate, vol, Principal, AM11)</f>
        <v>397341.11377926427</v>
      </c>
      <c r="AN12" cm="1">
        <f t="array" ref="AN12">BinomialTreeCall(K, S, T, rate, vol, Principal, AN11)</f>
        <v>394438.64242525824</v>
      </c>
      <c r="AO12" cm="1">
        <f t="array" ref="AO12">BinomialTreeCall(K, S, T, rate, vol, Principal, AO11)</f>
        <v>397304.18179271853</v>
      </c>
      <c r="AP12" cm="1">
        <f t="array" ref="AP12">BinomialTreeCall(K, S, T, rate, vol, Principal, AP11)</f>
        <v>394865.36527314701</v>
      </c>
      <c r="AQ12" cm="1">
        <f t="array" ref="AQ12">BinomialTreeCall(K, S, T, rate, vol, Principal, AQ11)</f>
        <v>397240.23636271624</v>
      </c>
      <c r="AR12" cm="1">
        <f t="array" ref="AR12">BinomialTreeCall(K, S, T, rate, vol, Principal, AR11)</f>
        <v>395243.34506175254</v>
      </c>
      <c r="AS12" cm="1">
        <f t="array" ref="AS12">BinomialTreeCall(K, S, T, rate, vol, Principal, AS11)</f>
        <v>397151.84935944015</v>
      </c>
      <c r="AT12" cm="1">
        <f t="array" ref="AT12">BinomialTreeCall(K, S, T, rate, vol, Principal, AT11)</f>
        <v>395576.4425667036</v>
      </c>
      <c r="AU12" cm="1">
        <f t="array" ref="AU12">BinomialTreeCall(K, S, T, rate, vol, Principal, AU11)</f>
        <v>397041.34024117584</v>
      </c>
      <c r="AV12" cm="1">
        <f t="array" ref="AV12">BinomialTreeCall(K, S, T, rate, vol, Principal, AV11)</f>
        <v>395868.17310934496</v>
      </c>
      <c r="AW12" cm="1">
        <f t="array" ref="AW12">BinomialTreeCall(K, S, T, rate, vol, Principal, AW11)</f>
        <v>396910.80396257713</v>
      </c>
      <c r="AX12" cm="1">
        <f t="array" ref="AX12">BinomialTreeCall(K, S, T, rate, vol, Principal, AX11)</f>
        <v>396121.74223298748</v>
      </c>
      <c r="AY12" cm="1">
        <f t="array" ref="AY12">BinomialTreeCall(K, S, T, rate, vol, Principal, AY11)</f>
        <v>396762.13540015963</v>
      </c>
      <c r="AZ12" cm="1">
        <f t="array" ref="AZ12">BinomialTreeCall(K, S, T, rate, vol, Principal, AZ11)</f>
        <v>396340.07718231925</v>
      </c>
      <c r="BA12" cm="1">
        <f t="array" ref="BA12">BinomialTreeCall(K, S, T, rate, vol, Principal, BA11)</f>
        <v>396597.05078051088</v>
      </c>
      <c r="BB12" cm="1">
        <f t="array" ref="BB12">BinomialTreeCall(K, S, T, rate, vol, Principal, BB11)</f>
        <v>396525.85473889922</v>
      </c>
      <c r="BC12" cm="1">
        <f t="array" ref="BC12">BinomialTreeCall(K, S, T, rate, vol, Principal, BC11)</f>
        <v>396417.10652174766</v>
      </c>
      <c r="BD12" cm="1">
        <f t="array" ref="BD12">BinomialTreeCall(K, S, T, rate, vol, Principal, BD11)</f>
        <v>396681.52588573116</v>
      </c>
      <c r="BE12" cm="1">
        <f t="array" ref="BE12">BinomialTreeCall(K, S, T, rate, vol, Principal, BE11)</f>
        <v>396223.71583717142</v>
      </c>
      <c r="BF12" cm="1">
        <f t="array" ref="BF12">BinomialTreeCall(K, S, T, rate, vol, Principal, BF11)</f>
        <v>396809.33770622319</v>
      </c>
      <c r="BG12" cm="1">
        <f t="array" ref="BG12">BinomialTreeCall(K, S, T, rate, vol, Principal, BG11)</f>
        <v>396018.16339698713</v>
      </c>
      <c r="BH12" cm="1">
        <f t="array" ref="BH12">BinomialTreeCall(K, S, T, rate, vol, Principal, BH11)</f>
        <v>396911.3528652009</v>
      </c>
      <c r="BI12" cm="1">
        <f t="array" ref="BI12">BinomialTreeCall(K, S, T, rate, vol, Principal, BI11)</f>
        <v>395801.61830244836</v>
      </c>
      <c r="BJ12" cm="1">
        <f t="array" ref="BJ12">BinomialTreeCall(K, S, T, rate, vol, Principal, BJ11)</f>
        <v>396989.4669712591</v>
      </c>
      <c r="BK12" cm="1">
        <f t="array" ref="BK12">BinomialTreeCall(K, S, T, rate, vol, Principal, BK11)</f>
        <v>395575.14558852394</v>
      </c>
      <c r="BL12" cm="1">
        <f t="array" ref="BL12">BinomialTreeCall(K, S, T, rate, vol, Principal, BL11)</f>
        <v>397045.42407956201</v>
      </c>
      <c r="BM12" cm="1">
        <f t="array" ref="BM12">BinomialTreeCall(K, S, T, rate, vol, Principal, BM11)</f>
        <v>395339.71644128038</v>
      </c>
      <c r="BN12" cm="1">
        <f t="array" ref="BN12">BinomialTreeCall(K, S, T, rate, vol, Principal, BN11)</f>
        <v>397080.83055743849</v>
      </c>
      <c r="BO12" cm="1">
        <f t="array" ref="BO12">BinomialTreeCall(K, S, T, rate, vol, Principal, BO11)</f>
        <v>395096.21729050652</v>
      </c>
      <c r="BP12" cm="1">
        <f t="array" ref="BP12">BinomialTreeCall(K, S, T, rate, vol, Principal, BP11)</f>
        <v>397097.16750802135</v>
      </c>
      <c r="BQ12" cm="1">
        <f t="array" ref="BQ12">BinomialTreeCall(K, S, T, rate, vol, Principal, BQ11)</f>
        <v>394845.45791490725</v>
      </c>
      <c r="BR12" cm="1">
        <f t="array" ref="BR12">BinomialTreeCall(K, S, T, rate, vol, Principal, BR11)</f>
        <v>397095.80191889196</v>
      </c>
      <c r="BS12" cm="1">
        <f t="array" ref="BS12">BinomialTreeCall(K, S, T, rate, vol, Principal, BS11)</f>
        <v>394886.47749806143</v>
      </c>
      <c r="BT12" cm="1">
        <f t="array" ref="BT12">BinomialTreeCall(K, S, T, rate, vol, Principal, BT11)</f>
        <v>397077.99668367149</v>
      </c>
      <c r="BU12" cm="1">
        <f t="array" ref="BU12">BinomialTreeCall(K, S, T, rate, vol, Principal, BU11)</f>
        <v>395162.54887961614</v>
      </c>
      <c r="BV12" cm="1">
        <f t="array" ref="BV12">BinomialTreeCall(K, S, T, rate, vol, Principal, BV11)</f>
        <v>397044.91962335684</v>
      </c>
      <c r="BW12" cm="1">
        <f t="array" ref="BW12">BinomialTreeCall(K, S, T, rate, vol, Principal, BW11)</f>
        <v>395412.97829456622</v>
      </c>
      <c r="BX12" cm="1">
        <f t="array" ref="BX12">BinomialTreeCall(K, S, T, rate, vol, Principal, BX11)</f>
        <v>396997.65162051312</v>
      </c>
      <c r="BY12" cm="1">
        <f t="array" ref="BY12">BinomialTreeCall(K, S, T, rate, vol, Principal, BY11)</f>
        <v>395639.31140026735</v>
      </c>
      <c r="BZ12" cm="1">
        <f t="array" ref="BZ12">BinomialTreeCall(K, S, T, rate, vol, Principal, BZ11)</f>
        <v>396937.19396273227</v>
      </c>
      <c r="CA12" cm="1">
        <f t="array" ref="CA12">BinomialTreeCall(K, S, T, rate, vol, Principal, CA11)</f>
        <v>395842.98879025975</v>
      </c>
      <c r="CB12" cm="1">
        <f t="array" ref="CB12">BinomialTreeCall(K, S, T, rate, vol, Principal, CB11)</f>
        <v>396864.47498324042</v>
      </c>
      <c r="CC12" cm="1">
        <f t="array" ref="CC12">BinomialTreeCall(K, S, T, rate, vol, Principal, CC11)</f>
        <v>396025.354256174</v>
      </c>
      <c r="CD12" cm="1">
        <f t="array" ref="CD12">BinomialTreeCall(K, S, T, rate, vol, Principal, CD11)</f>
        <v>396780.35607241071</v>
      </c>
      <c r="CE12" cm="1">
        <f t="array" ref="CE12">BinomialTreeCall(K, S, T, rate, vol, Principal, CE11)</f>
        <v>396187.66230826353</v>
      </c>
      <c r="CF12" cm="1">
        <f t="array" ref="CF12">BinomialTreeCall(K, S, T, rate, vol, Principal, CF11)</f>
        <v>396685.6371287739</v>
      </c>
      <c r="CG12" cm="1">
        <f t="array" ref="CG12">BinomialTreeCall(K, S, T, rate, vol, Principal, CG11)</f>
        <v>396331.08502716915</v>
      </c>
      <c r="CH12" cm="1">
        <f t="array" ref="CH12">BinomialTreeCall(K, S, T, rate, vol, Principal, CH11)</f>
        <v>396581.06150638644</v>
      </c>
      <c r="CI12" cm="1">
        <f t="array" ref="CI12">BinomialTreeCall(K, S, T, rate, vol, Principal, CI11)</f>
        <v>396456.71831547207</v>
      </c>
      <c r="CJ12" cm="1">
        <f t="array" ref="CJ12">BinomialTreeCall(K, S, T, rate, vol, Principal, CJ11)</f>
        <v>396467.32051191537</v>
      </c>
      <c r="CK12" cm="1">
        <f t="array" ref="CK12">BinomialTreeCall(K, S, T, rate, vol, Principal, CK11)</f>
        <v>396565.58760783367</v>
      </c>
      <c r="CL12" cm="1">
        <f t="array" ref="CL12">BinomialTreeCall(K, S, T, rate, vol, Principal, CL11)</f>
        <v>396345.05749723857</v>
      </c>
      <c r="CM12" cm="1">
        <f t="array" ref="CM12">BinomialTreeCall(K, S, T, rate, vol, Principal, CM11)</f>
        <v>396658.65309156507</v>
      </c>
      <c r="CN12" cm="1">
        <f t="array" ref="CN12">BinomialTreeCall(K, S, T, rate, vol, Principal, CN11)</f>
        <v>396214.87158757402</v>
      </c>
      <c r="CO12" cm="1">
        <f t="array" ref="CO12">BinomialTreeCall(K, S, T, rate, vol, Principal, CO11)</f>
        <v>396736.81448595511</v>
      </c>
      <c r="CP12" cm="1">
        <f t="array" ref="CP12">BinomialTreeCall(K, S, T, rate, vol, Principal, CP11)</f>
        <v>396077.3210824327</v>
      </c>
      <c r="CQ12" cm="1">
        <f t="array" ref="CQ12">BinomialTreeCall(K, S, T, rate, vol, Principal, CQ11)</f>
        <v>396800.91542210249</v>
      </c>
      <c r="CR12" cm="1">
        <f t="array" ref="CR12">BinomialTreeCall(K, S, T, rate, vol, Principal, CR11)</f>
        <v>395932.92656111403</v>
      </c>
      <c r="CS12" cm="1">
        <f t="array" ref="CS12">BinomialTreeCall(K, S, T, rate, vol, Principal, CS11)</f>
        <v>396851.74746039964</v>
      </c>
      <c r="CT12" cm="1">
        <f t="array" ref="CT12">BinomialTreeCall(K, S, T, rate, vol, Principal, CT11)</f>
        <v>395782.17372135783</v>
      </c>
      <c r="CU12" cm="1">
        <f t="array" ref="CU12">BinomialTreeCall(K, S, T, rate, vol, Principal, CU11)</f>
        <v>396890.0537794276</v>
      </c>
      <c r="CV12" cm="1">
        <f t="array" ref="CV12">BinomialTreeCall(K, S, T, rate, vol, Principal, CV11)</f>
        <v>395625.51597748609</v>
      </c>
      <c r="CW12" cm="1">
        <f t="array" ref="CW12">BinomialTreeCall(K, S, T, rate, vol, Principal, CW11)</f>
        <v>396916.53256748652</v>
      </c>
      <c r="CX12" cm="1">
        <f t="array" ref="CX12">BinomialTreeCall(K, S, T, rate, vol, Principal, CX11)</f>
        <v>395463.37683973642</v>
      </c>
      <c r="CY12" cm="1">
        <f t="array" ref="CY12">BinomialTreeCall(K, S, T, rate, vol, Principal, CY11)</f>
        <v>396931.84014197747</v>
      </c>
      <c r="CZ12" cm="1">
        <f t="array" ref="CZ12">BinomialTreeCall(K, S, T, rate, vol, Principal, CZ11)</f>
        <v>395296.15209662798</v>
      </c>
      <c r="DA12" cm="1">
        <f t="array" ref="DA12">BinomialTreeCall(K, S, T, rate, vol, Principal, DA11)</f>
        <v>396936.59382300533</v>
      </c>
      <c r="DB12" cm="1">
        <f t="array" ref="DB12">BinomialTreeCall(K, S, T, rate, vol, Principal, DB11)</f>
        <v>395124.21181801357</v>
      </c>
      <c r="DC12" cm="1">
        <f t="array" ref="DC12">BinomialTreeCall(K, S, T, rate, vol, Principal, DC11)</f>
        <v>396931.3745821194</v>
      </c>
      <c r="DD12" cm="1">
        <f t="array" ref="DD12">BinomialTreeCall(K, S, T, rate, vol, Principal, DD11)</f>
        <v>395313.7285301899</v>
      </c>
      <c r="DE12" cm="1">
        <f t="array" ref="DE12">BinomialTreeCall(K, S, T, rate, vol, Principal, DE11)</f>
        <v>396916.72948538011</v>
      </c>
      <c r="DF12" cm="1">
        <f t="array" ref="DF12">BinomialTreeCall(K, S, T, rate, vol, Principal, DF11)</f>
        <v>395493.19803080091</v>
      </c>
      <c r="DG12" cm="1">
        <f t="array" ref="DG12">BinomialTreeCall(K, S, T, rate, vol, Principal, DG11)</f>
        <v>396893.17395037442</v>
      </c>
      <c r="DH12" cm="1">
        <f t="array" ref="DH12">BinomialTreeCall(K, S, T, rate, vol, Principal, DH11)</f>
        <v>395658.44597708515</v>
      </c>
      <c r="DI12" cm="1">
        <f t="array" ref="DI12">BinomialTreeCall(K, S, T, rate, vol, Principal, DI11)</f>
        <v>396861.19383135263</v>
      </c>
      <c r="DJ12" cm="1">
        <f t="array" ref="DJ12">BinomialTreeCall(K, S, T, rate, vol, Principal, DJ11)</f>
        <v>395810.14316546125</v>
      </c>
      <c r="DK12" cm="1">
        <f t="array" ref="DK12">BinomialTreeCall(K, S, T, rate, vol, Principal, DK11)</f>
        <v>396821.24734859419</v>
      </c>
      <c r="DL12" cm="1">
        <f t="array" ref="DL12">BinomialTreeCall(K, S, T, rate, vol, Principal, DL11)</f>
        <v>395948.92485341121</v>
      </c>
      <c r="DM12" cm="1">
        <f t="array" ref="DM12">BinomialTreeCall(K, S, T, rate, vol, Principal, DM11)</f>
        <v>396773.76687412208</v>
      </c>
      <c r="DN12" cm="1">
        <f t="array" ref="DN12">BinomialTreeCall(K, S, T, rate, vol, Principal, DN11)</f>
        <v>396075.39294050989</v>
      </c>
      <c r="DO12" cm="1">
        <f t="array" ref="DO12">BinomialTreeCall(K, S, T, rate, vol, Principal, DO11)</f>
        <v>396719.16058640159</v>
      </c>
      <c r="DP12" cm="1">
        <f t="array" ref="DP12">BinomialTreeCall(K, S, T, rate, vol, Principal, DP11)</f>
        <v>396190.11799519887</v>
      </c>
      <c r="DQ12" cm="1">
        <f t="array" ref="DQ12">BinomialTreeCall(K, S, T, rate, vol, Principal, DQ11)</f>
        <v>396657.81400462991</v>
      </c>
      <c r="DR12" cm="1">
        <f t="array" ref="DR12">BinomialTreeCall(K, S, T, rate, vol, Principal, DR11)</f>
        <v>396293.64114136336</v>
      </c>
      <c r="DS12" cm="1">
        <f t="array" ref="DS12">BinomialTreeCall(K, S, T, rate, vol, Principal, DS11)</f>
        <v>396590.0914120471</v>
      </c>
      <c r="DT12" cm="1">
        <f t="array" ref="DT12">BinomialTreeCall(K, S, T, rate, vol, Principal, DT11)</f>
        <v>396386.47581412998</v>
      </c>
      <c r="DU12" cm="1">
        <f t="array" ref="DU12">BinomialTreeCall(K, S, T, rate, vol, Principal, DU11)</f>
        <v>396516.33717836317</v>
      </c>
      <c r="DV12" cm="1">
        <f t="array" ref="DV12">BinomialTreeCall(K, S, T, rate, vol, Principal, DV11)</f>
        <v>396469.1093965582</v>
      </c>
      <c r="DW12" cm="1">
        <f t="array" ref="DW12">BinomialTreeCall(K, S, T, rate, vol, Principal, DW11)</f>
        <v>396436.87698829238</v>
      </c>
      <c r="DX12" cm="1">
        <f t="array" ref="DX12">BinomialTreeCall(K, S, T, rate, vol, Principal, DX11)</f>
        <v>396542.00474469661</v>
      </c>
      <c r="DY12" cm="1">
        <f t="array" ref="DY12">BinomialTreeCall(K, S, T, rate, vol, Principal, DY11)</f>
        <v>396352.01898393646</v>
      </c>
      <c r="DZ12" cm="1">
        <f t="array" ref="DZ12">BinomialTreeCall(K, S, T, rate, vol, Principal, DZ11)</f>
        <v>396605.60161157546</v>
      </c>
      <c r="EA12" cm="1">
        <f t="array" ref="EA12">BinomialTreeCall(K, S, T, rate, vol, Principal, EA11)</f>
        <v>396262.05482836388</v>
      </c>
      <c r="EB12" cm="1">
        <f t="array" ref="EB12">BinomialTreeCall(K, S, T, rate, vol, Principal, EB11)</f>
        <v>396660.3179755155</v>
      </c>
      <c r="EC12" cm="1">
        <f t="array" ref="EC12">BinomialTreeCall(K, S, T, rate, vol, Principal, EC11)</f>
        <v>396167.26069578488</v>
      </c>
      <c r="ED12" cm="1">
        <f t="array" ref="ED12">BinomialTreeCall(K, S, T, rate, vol, Principal, ED11)</f>
        <v>396706.55128181854</v>
      </c>
      <c r="EE12" cm="1">
        <f t="array" ref="EE12">BinomialTreeCall(K, S, T, rate, vol, Principal, EE11)</f>
        <v>396067.89819412271</v>
      </c>
      <c r="EF12" cm="1">
        <f t="array" ref="EF12">BinomialTreeCall(K, S, T, rate, vol, Principal, EF11)</f>
        <v>396744.67960328032</v>
      </c>
      <c r="EG12" cm="1">
        <f t="array" ref="EG12">BinomialTreeCall(K, S, T, rate, vol, Principal, EG11)</f>
        <v>395964.21522595396</v>
      </c>
      <c r="EH12" cm="1">
        <f t="array" ref="EH12">BinomialTreeCall(K, S, T, rate, vol, Principal, EH11)</f>
        <v>396775.06272568071</v>
      </c>
      <c r="EI12" cm="1">
        <f t="array" ref="EI12">BinomialTreeCall(K, S, T, rate, vol, Principal, EI11)</f>
        <v>395856.44679130981</v>
      </c>
      <c r="EJ12" cm="1">
        <f t="array" ref="EJ12">BinomialTreeCall(K, S, T, rate, vol, Principal, EJ11)</f>
        <v>396798.04316364642</v>
      </c>
      <c r="EK12" cm="1">
        <f t="array" ref="EK12">BinomialTreeCall(K, S, T, rate, vol, Principal, EK11)</f>
        <v>395744.81573745399</v>
      </c>
      <c r="EL12" cm="1">
        <f t="array" ref="EL12">BinomialTreeCall(K, S, T, rate, vol, Principal, EL11)</f>
        <v>396813.94711225765</v>
      </c>
      <c r="EM12" cm="1">
        <f t="array" ref="EM12">BinomialTreeCall(K, S, T, rate, vol, Principal, EM11)</f>
        <v>395629.53345931682</v>
      </c>
      <c r="EN12" cm="1">
        <f t="array" ref="EN12">BinomialTreeCall(K, S, T, rate, vol, Principal, EN11)</f>
        <v>396823.08533838444</v>
      </c>
      <c r="EO12" cm="1">
        <f t="array" ref="EO12">BinomialTreeCall(K, S, T, rate, vol, Principal, EO11)</f>
        <v>395510.8005544325</v>
      </c>
      <c r="EP12" cm="1">
        <f t="array" ref="EP12">BinomialTreeCall(K, S, T, rate, vol, Principal, EP11)</f>
        <v>396825.75401708129</v>
      </c>
      <c r="EQ12" cm="1">
        <f t="array" ref="EQ12">BinomialTreeCall(K, S, T, rate, vol, Principal, EQ11)</f>
        <v>395396.84883578896</v>
      </c>
      <c r="ER12" cm="1">
        <f t="array" ref="ER12">BinomialTreeCall(K, S, T, rate, vol, Principal, ER11)</f>
        <v>396822.23551540257</v>
      </c>
      <c r="ES12" cm="1">
        <f t="array" ref="ES12">BinomialTreeCall(K, S, T, rate, vol, Principal, ES11)</f>
        <v>395532.68075137475</v>
      </c>
      <c r="ET12" cm="1">
        <f t="array" ref="ET12">BinomialTreeCall(K, S, T, rate, vol, Principal, ET11)</f>
        <v>396812.79912888561</v>
      </c>
      <c r="EU12" cm="1">
        <f t="array" ref="EU12">BinomialTreeCall(K, S, T, rate, vol, Principal, EU11)</f>
        <v>395659.52547524497</v>
      </c>
      <c r="EV12" cm="1">
        <f t="array" ref="EV12">BinomialTreeCall(K, S, T, rate, vol, Principal, EV11)</f>
        <v>396797.70177233842</v>
      </c>
      <c r="EW12" cm="1">
        <f t="array" ref="EW12">BinomialTreeCall(K, S, T, rate, vol, Principal, EW11)</f>
        <v>395777.72613353515</v>
      </c>
      <c r="EX12" cm="1">
        <f t="array" ref="EX12">BinomialTreeCall(K, S, T, rate, vol, Principal, EX11)</f>
        <v>396777.18863023311</v>
      </c>
      <c r="EY12" cm="1">
        <f t="array" ref="EY12">BinomialTreeCall(K, S, T, rate, vol, Principal, EY11)</f>
        <v>395887.61114322604</v>
      </c>
      <c r="EZ12" cm="1">
        <f t="array" ref="EZ12">BinomialTreeCall(K, S, T, rate, vol, Principal, EZ11)</f>
        <v>396751.49376674514</v>
      </c>
      <c r="FA12" cm="1">
        <f t="array" ref="FA12">BinomialTreeCall(K, S, T, rate, vol, Principal, FA11)</f>
        <v>395989.4949436218</v>
      </c>
      <c r="FB12" cm="1">
        <f t="array" ref="FB12">BinomialTreeCall(K, S, T, rate, vol, Principal, FB11)</f>
        <v>396720.84070057003</v>
      </c>
      <c r="FC12" cm="1">
        <f t="array" ref="FC12">BinomialTreeCall(K, S, T, rate, vol, Principal, FC11)</f>
        <v>396083.67868584144</v>
      </c>
      <c r="FD12" cm="1">
        <f t="array" ref="FD12">BinomialTreeCall(K, S, T, rate, vol, Principal, FD11)</f>
        <v>396685.44294554857</v>
      </c>
      <c r="FE12" cm="1">
        <f t="array" ref="FE12">BinomialTreeCall(K, S, T, rate, vol, Principal, FE11)</f>
        <v>396170.45088285155</v>
      </c>
      <c r="FF12" cm="1">
        <f t="array" ref="FF12">BinomialTreeCall(K, S, T, rate, vol, Principal, FF11)</f>
        <v>396645.50451977114</v>
      </c>
      <c r="FG12" cm="1">
        <f t="array" ref="FG12">BinomialTreeCall(K, S, T, rate, vol, Principal, FG11)</f>
        <v>396250.08802388341</v>
      </c>
      <c r="FH12" cm="1">
        <f t="array" ref="FH12">BinomialTreeCall(K, S, T, rate, vol, Principal, FH11)</f>
        <v>396601.22042507288</v>
      </c>
      <c r="FI12" cm="1">
        <f t="array" ref="FI12">BinomialTreeCall(K, S, T, rate, vol, Principal, FI11)</f>
        <v>396322.8551539086</v>
      </c>
      <c r="FJ12" cm="1">
        <f t="array" ref="FJ12">BinomialTreeCall(K, S, T, rate, vol, Principal, FJ11)</f>
        <v>396552.77709912066</v>
      </c>
      <c r="FK12" cm="1">
        <f t="array" ref="FK12">BinomialTreeCall(K, S, T, rate, vol, Principal, FK11)</f>
        <v>396389.0064212479</v>
      </c>
      <c r="FL12" cm="1">
        <f t="array" ref="FL12">BinomialTreeCall(K, S, T, rate, vol, Principal, FL11)</f>
        <v>396500.35284149129</v>
      </c>
      <c r="FM12" cm="1">
        <f t="array" ref="FM12">BinomialTreeCall(K, S, T, rate, vol, Principal, FM11)</f>
        <v>396448.78559524543</v>
      </c>
      <c r="FN12" cm="1">
        <f t="array" ref="FN12">BinomialTreeCall(K, S, T, rate, vol, Principal, FN11)</f>
        <v>396444.11821586004</v>
      </c>
      <c r="FO12" cm="1">
        <f t="array" ref="FO12">BinomialTreeCall(K, S, T, rate, vol, Principal, FO11)</f>
        <v>396502.42655619298</v>
      </c>
      <c r="FP12" cm="1">
        <f t="array" ref="FP12">BinomialTreeCall(K, S, T, rate, vol, Principal, FP11)</f>
        <v>396384.23642945656</v>
      </c>
      <c r="FQ12" cm="1">
        <f t="array" ref="FQ12">BinomialTreeCall(K, S, T, rate, vol, Principal, FQ11)</f>
        <v>396550.1537575993</v>
      </c>
      <c r="FR12" cm="1">
        <f t="array" ref="FR12">BinomialTreeCall(K, S, T, rate, vol, Principal, FR11)</f>
        <v>396320.86369124218</v>
      </c>
      <c r="FS12" cm="1">
        <f t="array" ref="FS12">BinomialTreeCall(K, S, T, rate, vol, Principal, FS11)</f>
        <v>396592.18266485725</v>
      </c>
      <c r="FT12" cm="1">
        <f t="array" ref="FT12">BinomialTreeCall(K, S, T, rate, vol, Principal, FT11)</f>
        <v>396254.1495505994</v>
      </c>
      <c r="FU12" cm="1">
        <f t="array" ref="FU12">BinomialTreeCall(K, S, T, rate, vol, Principal, FU11)</f>
        <v>396628.72016982432</v>
      </c>
      <c r="FV12" cm="1">
        <f t="array" ref="FV12">BinomialTreeCall(K, S, T, rate, vol, Principal, FV11)</f>
        <v>396184.23721686931</v>
      </c>
      <c r="FW12" cm="1">
        <f t="array" ref="FW12">BinomialTreeCall(K, S, T, rate, vol, Principal, FW11)</f>
        <v>396659.9649839492</v>
      </c>
      <c r="FX12" cm="1">
        <f t="array" ref="FX12">BinomialTreeCall(K, S, T, rate, vol, Principal, FX11)</f>
        <v>396111.26386229094</v>
      </c>
      <c r="FY12" cm="1">
        <f t="array" ref="FY12">BinomialTreeCall(K, S, T, rate, vol, Principal, FY11)</f>
        <v>396686.108010397</v>
      </c>
      <c r="FZ12" cm="1">
        <f t="array" ref="FZ12">BinomialTreeCall(K, S, T, rate, vol, Principal, FZ11)</f>
        <v>396035.36090759409</v>
      </c>
      <c r="GA12" cm="1">
        <f t="array" ref="GA12">BinomialTreeCall(K, S, T, rate, vol, Principal, GA11)</f>
        <v>396707.33269726613</v>
      </c>
      <c r="GB12" cm="1">
        <f t="array" ref="GB12">BinomialTreeCall(K, S, T, rate, vol, Principal, GB11)</f>
        <v>395956.65429286525</v>
      </c>
      <c r="GC12" cm="1">
        <f t="array" ref="GC12">BinomialTreeCall(K, S, T, rate, vol, Principal, GC11)</f>
        <v>396723.81537174433</v>
      </c>
      <c r="GD12" cm="1">
        <f t="array" ref="GD12">BinomialTreeCall(K, S, T, rate, vol, Principal, GD11)</f>
        <v>395875.2647337534</v>
      </c>
      <c r="GE12" cm="1">
        <f t="array" ref="GE12">BinomialTreeCall(K, S, T, rate, vol, Principal, GE11)</f>
        <v>396735.72555795021</v>
      </c>
      <c r="GF12" cm="1">
        <f t="array" ref="GF12">BinomialTreeCall(K, S, T, rate, vol, Principal, GF11)</f>
        <v>395791.30796408391</v>
      </c>
      <c r="GG12" cm="1">
        <f t="array" ref="GG12">BinomialTreeCall(K, S, T, rate, vol, Principal, GG11)</f>
        <v>396743.22627791099</v>
      </c>
      <c r="GH12" cm="1">
        <f t="array" ref="GH12">BinomialTreeCall(K, S, T, rate, vol, Principal, GH11)</f>
        <v>395704.89496566373</v>
      </c>
      <c r="GI12" cm="1">
        <f t="array" ref="GI12">BinomialTreeCall(K, S, T, rate, vol, Principal, GI11)</f>
        <v>396746.47433803417</v>
      </c>
      <c r="GJ12" cm="1">
        <f t="array" ref="GJ12">BinomialTreeCall(K, S, T, rate, vol, Principal, GJ11)</f>
        <v>395616.13218629168</v>
      </c>
      <c r="GK12" cm="1">
        <f t="array" ref="GK12">BinomialTreeCall(K, S, T, rate, vol, Principal, GK11)</f>
        <v>396745.62060029246</v>
      </c>
      <c r="GL12" cm="1">
        <f t="array" ref="GL12">BinomialTreeCall(K, S, T, rate, vol, Principal, GL11)</f>
        <v>395652.81441807828</v>
      </c>
      <c r="GM12" cm="1">
        <f t="array" ref="GM12">BinomialTreeCall(K, S, T, rate, vol, Principal, GM11)</f>
        <v>396740.81024024321</v>
      </c>
      <c r="GN12" cm="1">
        <f t="array" ref="GN12">BinomialTreeCall(K, S, T, rate, vol, Principal, GN11)</f>
        <v>395748.00585378276</v>
      </c>
      <c r="GO12" cm="1">
        <f t="array" ref="GO12">BinomialTreeCall(K, S, T, rate, vol, Principal, GO11)</f>
        <v>396732.18299260252</v>
      </c>
      <c r="GP12" cm="1">
        <f t="array" ref="GP12">BinomialTreeCall(K, S, T, rate, vol, Principal, GP11)</f>
        <v>395837.58651709877</v>
      </c>
      <c r="GQ12" cm="1">
        <f t="array" ref="GQ12">BinomialTreeCall(K, S, T, rate, vol, Principal, GQ11)</f>
        <v>396719.87338447559</v>
      </c>
      <c r="GR12" cm="1">
        <f t="array" ref="GR12">BinomialTreeCall(K, S, T, rate, vol, Principal, GR11)</f>
        <v>395921.73200500268</v>
      </c>
      <c r="GS12" cm="1">
        <f t="array" ref="GS12">BinomialTreeCall(K, S, T, rate, vol, Principal, GS11)</f>
        <v>396704.01095651614</v>
      </c>
      <c r="GT12" cm="1">
        <f t="array" ref="GT12">BinomialTreeCall(K, S, T, rate, vol, Principal, GT11)</f>
        <v>396000.61176938866</v>
      </c>
      <c r="GU12" cm="1">
        <f t="array" ref="GU12">BinomialTreeCall(K, S, T, rate, vol, Principal, GU11)</f>
        <v>396684.72047440085</v>
      </c>
      <c r="GV12" cm="1">
        <f t="array" ref="GV12">BinomialTreeCall(K, S, T, rate, vol, Principal, GV11)</f>
        <v>396074.38936603087</v>
      </c>
      <c r="GW12" cm="1">
        <f t="array" ref="GW12">BinomialTreeCall(K, S, T, rate, vol, Principal, GW11)</f>
        <v>396662.12212957541</v>
      </c>
      <c r="GX12" cm="1">
        <f t="array" ref="GX12">BinomialTreeCall(K, S, T, rate, vol, Principal, GX11)</f>
        <v>396143.22269275173</v>
      </c>
      <c r="GY12" cm="1">
        <f t="array" ref="GY12">BinomialTreeCall(K, S, T, rate, vol, Principal, GY11)</f>
        <v>396636.33173024294</v>
      </c>
      <c r="GZ12" cm="1">
        <f t="array" ref="GZ12">BinomialTreeCall(K, S, T, rate, vol, Principal, GZ11)</f>
        <v>396207.26421621529</v>
      </c>
      <c r="HA12" cm="1">
        <f t="array" ref="HA12">BinomialTreeCall(K, S, T, rate, vol, Principal, HA11)</f>
        <v>396607.46088336001</v>
      </c>
      <c r="HB12" cm="1">
        <f t="array" ref="HB12">BinomialTreeCall(K, S, T, rate, vol, Principal, HB11)</f>
        <v>396266.66118767997</v>
      </c>
      <c r="HC12" cm="1">
        <f t="array" ref="HC12">BinomialTreeCall(K, S, T, rate, vol, Principal, HC11)</f>
        <v>396575.61716805154</v>
      </c>
      <c r="HD12" cm="1">
        <f t="array" ref="HD12">BinomialTreeCall(K, S, T, rate, vol, Principal, HD11)</f>
        <v>396321.55585004413</v>
      </c>
      <c r="HE12" cm="1">
        <f t="array" ref="HE12">BinomialTreeCall(K, S, T, rate, vol, Principal, HE11)</f>
        <v>396540.90430118475</v>
      </c>
      <c r="HF12" cm="1">
        <f t="array" ref="HF12">BinomialTreeCall(K, S, T, rate, vol, Principal, HF11)</f>
        <v>396372.08563464717</v>
      </c>
      <c r="HG12" cm="1">
        <f t="array" ref="HG12">BinomialTreeCall(K, S, T, rate, vol, Principal, HG11)</f>
        <v>396503.4222942894</v>
      </c>
      <c r="HH12" cm="1">
        <f t="array" ref="HH12">BinomialTreeCall(K, S, T, rate, vol, Principal, HH11)</f>
        <v>396418.38334942271</v>
      </c>
      <c r="HI12" cm="1">
        <f t="array" ref="HI12">BinomialTreeCall(K, S, T, rate, vol, Principal, HI11)</f>
        <v>396463.26760420768</v>
      </c>
      <c r="HJ12" cm="1">
        <f t="array" ref="HJ12">BinomialTreeCall(K, S, T, rate, vol, Principal, HJ11)</f>
        <v>396460.57735843712</v>
      </c>
      <c r="HK12" cm="1">
        <f t="array" ref="HK12">BinomialTreeCall(K, S, T, rate, vol, Principal, HK11)</f>
        <v>396420.533276189</v>
      </c>
      <c r="HL12" cm="1">
        <f t="array" ref="HL12">BinomialTreeCall(K, S, T, rate, vol, Principal, HL11)</f>
        <v>396498.7917540599</v>
      </c>
      <c r="HM12" cm="1">
        <f t="array" ref="HM12">BinomialTreeCall(K, S, T, rate, vol, Principal, HM11)</f>
        <v>396375.30908075848</v>
      </c>
      <c r="HN12" cm="1">
        <f t="array" ref="HN12">BinomialTreeCall(K, S, T, rate, vol, Principal, HN11)</f>
        <v>396533.14652051905</v>
      </c>
      <c r="HO12" cm="1">
        <f t="array" ref="HO12">BinomialTreeCall(K, S, T, rate, vol, Principal, HO11)</f>
        <v>396327.68164359289</v>
      </c>
      <c r="HP12" cm="1">
        <f t="array" ref="HP12">BinomialTreeCall(K, S, T, rate, vol, Principal, HP11)</f>
        <v>396563.75769136538</v>
      </c>
      <c r="HQ12" cm="1">
        <f t="array" ref="HQ12">BinomialTreeCall(K, S, T, rate, vol, Principal, HQ11)</f>
        <v>396277.73457049462</v>
      </c>
      <c r="HR12" cm="1">
        <f t="array" ref="HR12">BinomialTreeCall(K, S, T, rate, vol, Principal, HR11)</f>
        <v>396590.73749858508</v>
      </c>
      <c r="HS12" cm="1">
        <f t="array" ref="HS12">BinomialTreeCall(K, S, T, rate, vol, Principal, HS11)</f>
        <v>396225.54856664344</v>
      </c>
      <c r="HT12" cm="1">
        <f t="array" ref="HT12">BinomialTreeCall(K, S, T, rate, vol, Principal, HT11)</f>
        <v>396614.19451717951</v>
      </c>
      <c r="HU12" cm="1">
        <f t="array" ref="HU12">BinomialTreeCall(K, S, T, rate, vol, Principal, HU11)</f>
        <v>396171.20154945087</v>
      </c>
      <c r="HV12" cm="1">
        <f t="array" ref="HV12">BinomialTreeCall(K, S, T, rate, vol, Principal, HV11)</f>
        <v>396634.23380141164</v>
      </c>
      <c r="HW12" cm="1">
        <f t="array" ref="HW12">BinomialTreeCall(K, S, T, rate, vol, Principal, HW11)</f>
        <v>396114.7687572391</v>
      </c>
      <c r="HX12" cm="1">
        <f t="array" ref="HX12">BinomialTreeCall(K, S, T, rate, vol, Principal, HX11)</f>
        <v>396650.95701686863</v>
      </c>
      <c r="HY12" cm="1">
        <f t="array" ref="HY12">BinomialTreeCall(K, S, T, rate, vol, Principal, HY11)</f>
        <v>396056.32285354228</v>
      </c>
      <c r="HZ12" cm="1">
        <f t="array" ref="HZ12">BinomialTreeCall(K, S, T, rate, vol, Principal, HZ11)</f>
        <v>396664.46256591164</v>
      </c>
      <c r="IA12" cm="1">
        <f t="array" ref="IA12">BinomialTreeCall(K, S, T, rate, vol, Principal, IA11)</f>
        <v>395995.93402550911</v>
      </c>
      <c r="IB12" cm="1">
        <f t="array" ref="IB12">BinomialTreeCall(K, S, T, rate, vol, Principal, IB11)</f>
        <v>396674.84570806031</v>
      </c>
      <c r="IC12" cm="1">
        <f t="array" ref="IC12">BinomialTreeCall(K, S, T, rate, vol, Principal, IC11)</f>
        <v>395933.67007941013</v>
      </c>
      <c r="ID12" cm="1">
        <f t="array" ref="ID12">BinomialTreeCall(K, S, T, rate, vol, Principal, ID11)</f>
        <v>396682.19867531583</v>
      </c>
      <c r="IE12" cm="1">
        <f t="array" ref="IE12">BinomialTreeCall(K, S, T, rate, vol, Principal, IE11)</f>
        <v>395869.59653064579</v>
      </c>
      <c r="IF12" cm="1">
        <f t="array" ref="IF12">BinomialTreeCall(K, S, T, rate, vol, Principal, IF11)</f>
        <v>396686.61078286939</v>
      </c>
      <c r="IG12" cm="1">
        <f t="array" ref="IG12">BinomialTreeCall(K, S, T, rate, vol, Principal, IG11)</f>
        <v>395803.7766911849</v>
      </c>
      <c r="IH12" cm="1">
        <f t="array" ref="IH12">BinomialTreeCall(K, S, T, rate, vol, Principal, IH11)</f>
        <v>396688.16853437235</v>
      </c>
      <c r="II12" cm="1">
        <f t="array" ref="II12">BinomialTreeCall(K, S, T, rate, vol, Principal, II11)</f>
        <v>395736.27175216313</v>
      </c>
      <c r="IJ12" cm="1">
        <f t="array" ref="IJ12">BinomialTreeCall(K, S, T, rate, vol, Principal, IJ11)</f>
        <v>396686.9557243837</v>
      </c>
      <c r="IK12" cm="1">
        <f t="array" ref="IK12">BinomialTreeCall(K, S, T, rate, vol, Principal, IK11)</f>
        <v>395796.07884362276</v>
      </c>
      <c r="IL12" cm="1">
        <f t="array" ref="IL12">BinomialTreeCall(K, S, T, rate, vol, Principal, IL11)</f>
        <v>396683.05353447178</v>
      </c>
      <c r="IM12" cm="1">
        <f t="array" ref="IM12">BinomialTreeCall(K, S, T, rate, vol, Principal, IM11)</f>
        <v>395866.9284836197</v>
      </c>
      <c r="IN12" cm="1">
        <f t="array" ref="IN12">BinomialTreeCall(K, S, T, rate, vol, Principal, IN11)</f>
        <v>396676.54062720656</v>
      </c>
      <c r="IO12" cm="1">
        <f t="array" ref="IO12">BinomialTreeCall(K, S, T, rate, vol, Principal, IO11)</f>
        <v>395934.05197618471</v>
      </c>
      <c r="IP12" cm="1">
        <f t="array" ref="IP12">BinomialTreeCall(K, S, T, rate, vol, Principal, IP11)</f>
        <v>396667.49323578557</v>
      </c>
      <c r="IQ12" cm="1">
        <f t="array" ref="IQ12">BinomialTreeCall(K, S, T, rate, vol, Principal, IQ11)</f>
        <v>395997.54681179876</v>
      </c>
      <c r="IR12" cm="1">
        <f t="array" ref="IR12">BinomialTreeCall(K, S, T, rate, vol, Principal, IR11)</f>
        <v>396655.98524910043</v>
      </c>
      <c r="IS12" cm="1">
        <f t="array" ref="IS12">BinomialTreeCall(K, S, T, rate, vol, Principal, IS11)</f>
        <v>396057.50763717818</v>
      </c>
      <c r="IT12" cm="1">
        <f t="array" ref="IT12">BinomialTreeCall(K, S, T, rate, vol, Principal, IT11)</f>
        <v>396642.08829488658</v>
      </c>
      <c r="IU12" cm="1">
        <f t="array" ref="IU12">BinomialTreeCall(K, S, T, rate, vol, Principal, IU11)</f>
        <v>396114.02635090781</v>
      </c>
      <c r="IV12" cm="1">
        <f t="array" ref="IV12">BinomialTreeCall(K, S, T, rate, vol, Principal, IV11)</f>
        <v>396625.87181810086</v>
      </c>
      <c r="IW12" cm="1">
        <f t="array" ref="IW12">BinomialTreeCall(K, S, T, rate, vol, Principal, IW11)</f>
        <v>396167.19219626911</v>
      </c>
      <c r="IX12" cm="1">
        <f t="array" ref="IX12">BinomialTreeCall(K, S, T, rate, vol, Principal, IX11)</f>
        <v>396607.40315768158</v>
      </c>
      <c r="IY12" cm="1">
        <f t="array" ref="IY12">BinomialTreeCall(K, S, T, rate, vol, Principal, IY11)</f>
        <v>396217.09185008903</v>
      </c>
      <c r="IZ12" cm="1">
        <f t="array" ref="IZ12">BinomialTreeCall(K, S, T, rate, vol, Principal, IZ11)</f>
        <v>396586.74761837488</v>
      </c>
      <c r="JA12" cm="1">
        <f t="array" ref="JA12">BinomialTreeCall(K, S, T, rate, vol, Principal, JA11)</f>
        <v>396263.8095079523</v>
      </c>
      <c r="JB12" cm="1">
        <f t="array" ref="JB12">BinomialTreeCall(K, S, T, rate, vol, Principal, JB11)</f>
        <v>396563.96854160796</v>
      </c>
      <c r="JC12" cm="1">
        <f t="array" ref="JC12">BinomialTreeCall(K, S, T, rate, vol, Principal, JC11)</f>
        <v>396307.42696689029</v>
      </c>
      <c r="JD12" cm="1">
        <f t="array" ref="JD12">BinomialTreeCall(K, S, T, rate, vol, Principal, JD11)</f>
        <v>396539.12737212103</v>
      </c>
      <c r="JE12" cm="1">
        <f t="array" ref="JE12">BinomialTreeCall(K, S, T, rate, vol, Principal, JE11)</f>
        <v>396348.02370409307</v>
      </c>
      <c r="JF12" cm="1">
        <f t="array" ref="JF12">BinomialTreeCall(K, S, T, rate, vol, Principal, JF11)</f>
        <v>396512.28372336796</v>
      </c>
      <c r="JG12" cm="1">
        <f t="array" ref="JG12">BinomialTreeCall(K, S, T, rate, vol, Principal, JG11)</f>
        <v>396385.67695301172</v>
      </c>
      <c r="JH12" cm="1">
        <f t="array" ref="JH12">BinomialTreeCall(K, S, T, rate, vol, Principal, JH11)</f>
        <v>396483.49543838692</v>
      </c>
      <c r="JI12" cm="1">
        <f t="array" ref="JI12">BinomialTreeCall(K, S, T, rate, vol, Principal, JI11)</f>
        <v>396420.46177664952</v>
      </c>
      <c r="JJ12" cm="1">
        <f t="array" ref="JJ12">BinomialTreeCall(K, S, T, rate, vol, Principal, JJ11)</f>
        <v>396452.81865097664</v>
      </c>
      <c r="JK12" cm="1">
        <f t="array" ref="JK12">BinomialTreeCall(K, S, T, rate, vol, Principal, JK11)</f>
        <v>396452.45113829384</v>
      </c>
      <c r="JL12" cm="1">
        <f t="array" ref="JL12">BinomialTreeCall(K, S, T, rate, vol, Principal, JL11)</f>
        <v>396420.30784195173</v>
      </c>
      <c r="JM12" cm="1">
        <f t="array" ref="JM12">BinomialTreeCall(K, S, T, rate, vol, Principal, JM11)</f>
        <v>396481.71596888365</v>
      </c>
      <c r="JN12" cm="1">
        <f t="array" ref="JN12">BinomialTreeCall(K, S, T, rate, vol, Principal, JN11)</f>
        <v>396386.01589473331</v>
      </c>
      <c r="JO12" cm="1">
        <f t="array" ref="JO12">BinomialTreeCall(K, S, T, rate, vol, Principal, JO11)</f>
        <v>396508.32523282606</v>
      </c>
      <c r="JP12" cm="1">
        <f t="array" ref="JP12">BinomialTreeCall(K, S, T, rate, vol, Principal, JP11)</f>
        <v>396349.99414882105</v>
      </c>
      <c r="JQ12" cm="1">
        <f t="array" ref="JQ12">BinomialTreeCall(K, S, T, rate, vol, Principal, JQ11)</f>
        <v>396532.34599046578</v>
      </c>
      <c r="JR12" cm="1">
        <f t="array" ref="JR12">BinomialTreeCall(K, S, T, rate, vol, Principal, JR11)</f>
        <v>396312.29245018587</v>
      </c>
      <c r="JS12" cm="1">
        <f t="array" ref="JS12">BinomialTreeCall(K, S, T, rate, vol, Principal, JS11)</f>
        <v>396553.8434589894</v>
      </c>
      <c r="JT12" cm="1">
        <f t="array" ref="JT12">BinomialTreeCall(K, S, T, rate, vol, Principal, JT11)</f>
        <v>396272.95920104976</v>
      </c>
      <c r="JU12" cm="1">
        <f t="array" ref="JU12">BinomialTreeCall(K, S, T, rate, vol, Principal, JU11)</f>
        <v>396572.88107092731</v>
      </c>
      <c r="JV12" cm="1">
        <f t="array" ref="JV12">BinomialTreeCall(K, S, T, rate, vol, Principal, JV11)</f>
        <v>396232.04140683293</v>
      </c>
      <c r="JW12" cm="1">
        <f t="array" ref="JW12">BinomialTreeCall(K, S, T, rate, vol, Principal, JW11)</f>
        <v>396589.52053006162</v>
      </c>
      <c r="JX12" cm="1">
        <f t="array" ref="JX12">BinomialTreeCall(K, S, T, rate, vol, Principal, JX11)</f>
        <v>396189.58472169453</v>
      </c>
      <c r="JY12" cm="1">
        <f t="array" ref="JY12">BinomialTreeCall(K, S, T, rate, vol, Principal, JY11)</f>
        <v>396603.82186574384</v>
      </c>
      <c r="JZ12" cm="1">
        <f t="array" ref="JZ12">BinomialTreeCall(K, S, T, rate, vol, Principal, JZ11)</f>
        <v>396145.63349313411</v>
      </c>
      <c r="KA12" cm="1">
        <f t="array" ref="KA12">BinomialTreeCall(K, S, T, rate, vol, Principal, KA11)</f>
        <v>396615.84348595882</v>
      </c>
      <c r="KB12" cm="1">
        <f t="array" ref="KB12">BinomialTreeCall(K, S, T, rate, vol, Principal, KB11)</f>
        <v>396100.23080270301</v>
      </c>
      <c r="KC12" cm="1">
        <f t="array" ref="KC12">BinomialTreeCall(K, S, T, rate, vol, Principal, KC11)</f>
        <v>396625.642226292</v>
      </c>
      <c r="KD12" cm="1">
        <f t="array" ref="KD12">BinomialTreeCall(K, S, T, rate, vol, Principal, KD11)</f>
        <v>396053.41850843973</v>
      </c>
      <c r="KE12" cm="1">
        <f t="array" ref="KE12">BinomialTreeCall(K, S, T, rate, vol, Principal, KE11)</f>
        <v>396633.27339984797</v>
      </c>
      <c r="KF12" cm="1">
        <f t="array" ref="KF12">BinomialTreeCall(K, S, T, rate, vol, Principal, KF11)</f>
        <v>396005.23728282301</v>
      </c>
      <c r="KG12" cm="1">
        <f t="array" ref="KG12">BinomialTreeCall(K, S, T, rate, vol, Principal, KG11)</f>
        <v>396638.79084379104</v>
      </c>
      <c r="KH12" cm="1">
        <f t="array" ref="KH12">BinomialTreeCall(K, S, T, rate, vol, Principal, KH11)</f>
        <v>395955.72665112943</v>
      </c>
      <c r="KI12" cm="1">
        <f t="array" ref="KI12">BinomialTreeCall(K, S, T, rate, vol, Principal, KI11)</f>
        <v>396642.24696402234</v>
      </c>
      <c r="KJ12" cm="1">
        <f t="array" ref="KJ12">BinomialTreeCall(K, S, T, rate, vol, Principal, KJ11)</f>
        <v>395904.92502768926</v>
      </c>
      <c r="KK12" cm="1">
        <f t="array" ref="KK12">BinomialTreeCall(K, S, T, rate, vol, Principal, KK11)</f>
        <v>396643.69277938677</v>
      </c>
      <c r="KL12" cm="1">
        <f t="array" ref="KL12">BinomialTreeCall(K, S, T, rate, vol, Principal, KL11)</f>
        <v>395852.86975084362</v>
      </c>
      <c r="KM12" cm="1">
        <f t="array" ref="KM12">BinomialTreeCall(K, S, T, rate, vol, Principal, KM11)</f>
        <v>396643.1779642973</v>
      </c>
      <c r="KN12" cm="1">
        <f t="array" ref="KN12">BinomialTreeCall(K, S, T, rate, vol, Principal, KN11)</f>
        <v>395879.55970031576</v>
      </c>
      <c r="KO12" cm="1">
        <f t="array" ref="KO12">BinomialTreeCall(K, S, T, rate, vol, Principal, KO11)</f>
        <v>396640.75088782184</v>
      </c>
      <c r="KP12" cm="1">
        <f t="array" ref="KP12">BinomialTreeCall(K, S, T, rate, vol, Principal, KP11)</f>
        <v>395934.77868044446</v>
      </c>
      <c r="KQ12" cm="1">
        <f t="array" ref="KQ12">BinomialTreeCall(K, S, T, rate, vol, Principal, KQ11)</f>
        <v>396636.45865486149</v>
      </c>
      <c r="KR12" cm="1">
        <f t="array" ref="KR12">BinomialTreeCall(K, S, T, rate, vol, Principal, KR11)</f>
        <v>395987.40476124553</v>
      </c>
      <c r="KS12" cm="1">
        <f t="array" ref="KS12">BinomialTreeCall(K, S, T, rate, vol, Principal, KS11)</f>
        <v>396630.34714228107</v>
      </c>
      <c r="KT12" cm="1">
        <f t="array" ref="KT12">BinomialTreeCall(K, S, T, rate, vol, Principal, KT11)</f>
        <v>396037.49556118</v>
      </c>
      <c r="KU12" cm="1">
        <f t="array" ref="KU12">BinomialTreeCall(K, S, T, rate, vol, Principal, KU11)</f>
        <v>396622.4610370546</v>
      </c>
      <c r="KV12" cm="1">
        <f t="array" ref="KV12">BinomialTreeCall(K, S, T, rate, vol, Principal, KV11)</f>
        <v>396085.10727429314</v>
      </c>
      <c r="KW12" cm="1">
        <f t="array" ref="KW12">BinomialTreeCall(K, S, T, rate, vol, Principal, KW11)</f>
        <v>396612.84387044632</v>
      </c>
      <c r="KX12" cm="1">
        <f t="array" ref="KX12">BinomialTreeCall(K, S, T, rate, vol, Principal, KX11)</f>
        <v>396130.29471049982</v>
      </c>
      <c r="KY12" cm="1">
        <f t="array" ref="KY12">BinomialTreeCall(K, S, T, rate, vol, Principal, KY11)</f>
        <v>396601.53805280407</v>
      </c>
      <c r="KZ12" cm="1">
        <f t="array" ref="KZ12">BinomialTreeCall(K, S, T, rate, vol, Principal, KZ11)</f>
        <v>396173.11133580131</v>
      </c>
      <c r="LA12" cm="1">
        <f t="array" ref="LA12">BinomialTreeCall(K, S, T, rate, vol, Principal, LA11)</f>
        <v>396588.58490647876</v>
      </c>
      <c r="LB12" cm="1">
        <f t="array" ref="LB12">BinomialTreeCall(K, S, T, rate, vol, Principal, LB11)</f>
        <v>396213.60930895951</v>
      </c>
      <c r="LC12" cm="1">
        <f t="array" ref="LC12">BinomialTreeCall(K, S, T, rate, vol, Principal, LC11)</f>
        <v>396574.02469742828</v>
      </c>
      <c r="LD12" cm="1">
        <f t="array" ref="LD12">BinomialTreeCall(K, S, T, rate, vol, Principal, LD11)</f>
        <v>396251.83952073986</v>
      </c>
      <c r="LE12" cm="1">
        <f t="array" ref="LE12">BinomialTreeCall(K, S, T, rate, vol, Principal, LE11)</f>
        <v>396557.89666625683</v>
      </c>
      <c r="LF12" cm="1">
        <f t="array" ref="LF12">BinomialTreeCall(K, S, T, rate, vol, Principal, LF11)</f>
        <v>396287.85162735509</v>
      </c>
      <c r="LG12" cm="1">
        <f t="array" ref="LG12">BinomialTreeCall(K, S, T, rate, vol, Principal, LG11)</f>
        <v>396540.23905810487</v>
      </c>
      <c r="LH12" cm="1">
        <f t="array" ref="LH12">BinomialTreeCall(K, S, T, rate, vol, Principal, LH11)</f>
        <v>396321.6940868473</v>
      </c>
      <c r="LI12" cm="1">
        <f t="array" ref="LI12">BinomialTreeCall(K, S, T, rate, vol, Principal, LI11)</f>
        <v>396521.08915109676</v>
      </c>
      <c r="LJ12" cm="1">
        <f t="array" ref="LJ12">BinomialTreeCall(K, S, T, rate, vol, Principal, LJ11)</f>
        <v>396353.41419172951</v>
      </c>
      <c r="LK12" cm="1">
        <f t="array" ref="LK12">BinomialTreeCall(K, S, T, rate, vol, Principal, LK11)</f>
        <v>396500.48328483052</v>
      </c>
      <c r="LL12" cm="1">
        <f t="array" ref="LL12">BinomialTreeCall(K, S, T, rate, vol, Principal, LL11)</f>
        <v>396383.05810122669</v>
      </c>
      <c r="LM12" cm="1">
        <f t="array" ref="LM12">BinomialTreeCall(K, S, T, rate, vol, Principal, LM11)</f>
        <v>396478.45688655373</v>
      </c>
      <c r="LN12" cm="1">
        <f t="array" ref="LN12">BinomialTreeCall(K, S, T, rate, vol, Principal, LN11)</f>
        <v>396410.67087344144</v>
      </c>
      <c r="LO12" cm="1">
        <f t="array" ref="LO12">BinomialTreeCall(K, S, T, rate, vol, Principal, LO11)</f>
        <v>396455.04449735099</v>
      </c>
      <c r="LP12" cm="1">
        <f t="array" ref="LP12">BinomialTreeCall(K, S, T, rate, vol, Principal, LP11)</f>
        <v>396436.29649493733</v>
      </c>
      <c r="LQ12" cm="1">
        <f t="array" ref="LQ12">BinomialTreeCall(K, S, T, rate, vol, Principal, LQ11)</f>
        <v>396430.27979834983</v>
      </c>
      <c r="LR12" cm="1">
        <f t="array" ref="LR12">BinomialTreeCall(K, S, T, rate, vol, Principal, LR11)</f>
        <v>396459.97791069874</v>
      </c>
      <c r="LS12" cm="1">
        <f t="array" ref="LS12">BinomialTreeCall(K, S, T, rate, vol, Principal, LS11)</f>
        <v>396404.19563335151</v>
      </c>
      <c r="LT12" cm="1">
        <f t="array" ref="LT12">BinomialTreeCall(K, S, T, rate, vol, Principal, LT11)</f>
        <v>396481.75705252268</v>
      </c>
      <c r="LU12" cm="1">
        <f t="array" ref="LU12">BinomialTreeCall(K, S, T, rate, vol, Principal, LU11)</f>
        <v>396376.82403380366</v>
      </c>
      <c r="LV12" cm="1">
        <f t="array" ref="LV12">BinomialTreeCall(K, S, T, rate, vol, Principal, LV11)</f>
        <v>396501.67486605927</v>
      </c>
      <c r="LW12" cm="1">
        <f t="array" ref="LW12">BinomialTreeCall(K, S, T, rate, vol, Principal, LW11)</f>
        <v>396348.19624156604</v>
      </c>
      <c r="LX12" cm="1">
        <f t="array" ref="LX12">BinomialTreeCall(K, S, T, rate, vol, Principal, LX11)</f>
        <v>396519.77133830829</v>
      </c>
      <c r="LY12" cm="1">
        <f t="array" ref="LY12">BinomialTreeCall(K, S, T, rate, vol, Principal, LY11)</f>
        <v>396318.34273010207</v>
      </c>
      <c r="LZ12" cm="1">
        <f t="array" ref="LZ12">BinomialTreeCall(K, S, T, rate, vol, Principal, LZ11)</f>
        <v>396536.0855235334</v>
      </c>
      <c r="MA12" cm="1">
        <f t="array" ref="MA12">BinomialTreeCall(K, S, T, rate, vol, Principal, MA11)</f>
        <v>396287.29322678363</v>
      </c>
      <c r="MB12" cm="1">
        <f t="array" ref="MB12">BinomialTreeCall(K, S, T, rate, vol, Principal, MB11)</f>
        <v>396550.65556729416</v>
      </c>
      <c r="MC12" cm="1">
        <f t="array" ref="MC12">BinomialTreeCall(K, S, T, rate, vol, Principal, MC11)</f>
        <v>396255.07673285884</v>
      </c>
      <c r="MD12" cm="1">
        <f t="array" ref="MD12">BinomialTreeCall(K, S, T, rate, vol, Principal, MD11)</f>
        <v>396563.51873220719</v>
      </c>
      <c r="ME12" cm="1">
        <f t="array" ref="ME12">BinomialTreeCall(K, S, T, rate, vol, Principal, ME11)</f>
        <v>396221.72154437122</v>
      </c>
      <c r="MF12" cm="1">
        <f t="array" ref="MF12">BinomialTreeCall(K, S, T, rate, vol, Principal, MF11)</f>
        <v>396574.71142026468</v>
      </c>
      <c r="MG12" cm="1">
        <f t="array" ref="MG12">BinomialTreeCall(K, S, T, rate, vol, Principal, MG11)</f>
        <v>396187.25527065573</v>
      </c>
      <c r="MH12" cm="1">
        <f t="array" ref="MH12">BinomialTreeCall(K, S, T, rate, vol, Principal, MH11)</f>
        <v>396584.26919695031</v>
      </c>
      <c r="MI12" cm="1">
        <f t="array" ref="MI12">BinomialTreeCall(K, S, T, rate, vol, Principal, MI11)</f>
        <v>396151.70485416899</v>
      </c>
      <c r="MJ12" cm="1">
        <f t="array" ref="MJ12">BinomialTreeCall(K, S, T, rate, vol, Principal, MJ11)</f>
        <v>396592.22681211098</v>
      </c>
      <c r="MK12" cm="1">
        <f t="array" ref="MK12">BinomialTreeCall(K, S, T, rate, vol, Principal, MK11)</f>
        <v>396115.09658770618</v>
      </c>
      <c r="ML12" cm="1">
        <f t="array" ref="ML12">BinomialTreeCall(K, S, T, rate, vol, Principal, ML11)</f>
        <v>396598.6182220488</v>
      </c>
      <c r="MM12" cm="1">
        <f t="array" ref="MM12">BinomialTreeCall(K, S, T, rate, vol, Principal, MM11)</f>
        <v>396077.45613266941</v>
      </c>
      <c r="MN12" cm="1">
        <f t="array" ref="MN12">BinomialTreeCall(K, S, T, rate, vol, Principal, MN11)</f>
        <v>396603.476610835</v>
      </c>
      <c r="MO12" cm="1">
        <f t="array" ref="MO12">BinomialTreeCall(K, S, T, rate, vol, Principal, MO11)</f>
        <v>396038.8085363101</v>
      </c>
      <c r="MP12" cm="1">
        <f t="array" ref="MP12">BinomialTreeCall(K, S, T, rate, vol, Principal, MP11)</f>
        <v>396606.8344094106</v>
      </c>
      <c r="MQ12" cm="1">
        <f t="array" ref="MQ12">BinomialTreeCall(K, S, T, rate, vol, Principal, MQ11)</f>
        <v>395999.17824765906</v>
      </c>
      <c r="MR12" cm="1">
        <f t="array" ref="MR12">BinomialTreeCall(K, S, T, rate, vol, Principal, MR11)</f>
        <v>396608.72331637231</v>
      </c>
      <c r="MS12" cm="1">
        <f t="array" ref="MS12">BinomialTreeCall(K, S, T, rate, vol, Principal, MS11)</f>
        <v>395958.58913429733</v>
      </c>
      <c r="MT12" cm="1">
        <f t="array" ref="MT12">BinomialTreeCall(K, S, T, rate, vol, Principal, MT11)</f>
        <v>396609.17431604973</v>
      </c>
      <c r="MU12" cm="1">
        <f t="array" ref="MU12">BinomialTreeCall(K, S, T, rate, vol, Principal, MU11)</f>
        <v>395929.11948817549</v>
      </c>
      <c r="MV12" cm="1">
        <f t="array" ref="MV12">BinomialTreeCall(K, S, T, rate, vol, Principal, MV11)</f>
        <v>396608.21769759851</v>
      </c>
      <c r="MW12" cm="1">
        <f t="array" ref="MW12">BinomialTreeCall(K, S, T, rate, vol, Principal, MW11)</f>
        <v>395973.72618821211</v>
      </c>
      <c r="MX12" cm="1">
        <f t="array" ref="MX12">BinomialTreeCall(K, S, T, rate, vol, Principal, MX11)</f>
        <v>396605.8830721383</v>
      </c>
      <c r="MY12" cm="1">
        <f t="array" ref="MY12">BinomialTreeCall(K, S, T, rate, vol, Principal, MY11)</f>
        <v>396016.46141934476</v>
      </c>
      <c r="MZ12" cm="1">
        <f t="array" ref="MZ12">BinomialTreeCall(K, S, T, rate, vol, Principal, MZ11)</f>
        <v>396602.19939129875</v>
      </c>
      <c r="NA12" cm="1">
        <f t="array" ref="NA12">BinomialTreeCall(K, S, T, rate, vol, Principal, NA11)</f>
        <v>396057.36096714833</v>
      </c>
      <c r="NB12" cm="1">
        <f t="array" ref="NB12">BinomialTreeCall(K, S, T, rate, vol, Principal, NB11)</f>
        <v>396597.19496284449</v>
      </c>
      <c r="NC12" cm="1">
        <f t="array" ref="NC12">BinomialTreeCall(K, S, T, rate, vol, Principal, NC11)</f>
        <v>396096.45985661662</v>
      </c>
      <c r="ND12" cm="1">
        <f t="array" ref="ND12">BinomialTreeCall(K, S, T, rate, vol, Principal, ND11)</f>
        <v>396590.89746829233</v>
      </c>
      <c r="NE12" cm="1">
        <f t="array" ref="NE12">BinomialTreeCall(K, S, T, rate, vol, Principal, NE11)</f>
        <v>396133.79237147258</v>
      </c>
      <c r="NF12" cm="1">
        <f t="array" ref="NF12">BinomialTreeCall(K, S, T, rate, vol, Principal, NF11)</f>
        <v>396583.33397734124</v>
      </c>
      <c r="NG12" cm="1">
        <f t="array" ref="NG12">BinomialTreeCall(K, S, T, rate, vol, Principal, NG11)</f>
        <v>396169.39207152335</v>
      </c>
      <c r="NH12" cm="1">
        <f t="array" ref="NH12">BinomialTreeCall(K, S, T, rate, vol, Principal, NH11)</f>
        <v>396574.53096469754</v>
      </c>
      <c r="NI12" cm="1">
        <f t="array" ref="NI12">BinomialTreeCall(K, S, T, rate, vol, Principal, NI11)</f>
        <v>396203.29181115679</v>
      </c>
      <c r="NJ12" cm="1">
        <f t="array" ref="NJ12">BinomialTreeCall(K, S, T, rate, vol, Principal, NJ11)</f>
        <v>396564.51432411221</v>
      </c>
      <c r="NK12" cm="1">
        <f t="array" ref="NK12">BinomialTreeCall(K, S, T, rate, vol, Principal, NK11)</f>
        <v>396235.52375602711</v>
      </c>
      <c r="NL12" cm="1">
        <f t="array" ref="NL12">BinomialTreeCall(K, S, T, rate, vol, Principal, NL11)</f>
        <v>396553.30938368663</v>
      </c>
      <c r="NM12" cm="1">
        <f t="array" ref="NM12">BinomialTreeCall(K, S, T, rate, vol, Principal, NM11)</f>
        <v>396266.11940031528</v>
      </c>
      <c r="NN12" cm="1">
        <f t="array" ref="NN12">BinomialTreeCall(K, S, T, rate, vol, Principal, NN11)</f>
        <v>396540.94091921218</v>
      </c>
      <c r="NO12" cm="1">
        <f t="array" ref="NO12">BinomialTreeCall(K, S, T, rate, vol, Principal, NO11)</f>
        <v>396295.10958196351</v>
      </c>
      <c r="NP12" cm="1">
        <f t="array" ref="NP12">BinomialTreeCall(K, S, T, rate, vol, Principal, NP11)</f>
        <v>396527.43316831038</v>
      </c>
      <c r="NQ12" cm="1">
        <f t="array" ref="NQ12">BinomialTreeCall(K, S, T, rate, vol, Principal, NQ11)</f>
        <v>396322.52449952415</v>
      </c>
      <c r="NR12" cm="1">
        <f t="array" ref="NR12">BinomialTreeCall(K, S, T, rate, vol, Principal, NR11)</f>
        <v>396512.80984440556</v>
      </c>
      <c r="NS12" cm="1">
        <f t="array" ref="NS12">BinomialTreeCall(K, S, T, rate, vol, Principal, NS11)</f>
        <v>396348.3937270359</v>
      </c>
      <c r="NT12" cm="1">
        <f t="array" ref="NT12">BinomialTreeCall(K, S, T, rate, vol, Principal, NT11)</f>
        <v>396497.09414826456</v>
      </c>
      <c r="NU12" cm="1">
        <f t="array" ref="NU12">BinomialTreeCall(K, S, T, rate, vol, Principal, NU11)</f>
        <v>396372.74622907647</v>
      </c>
      <c r="NV12" cm="1">
        <f t="array" ref="NV12">BinomialTreeCall(K, S, T, rate, vol, Principal, NV11)</f>
        <v>396480.30878184806</v>
      </c>
      <c r="NW12" cm="1">
        <f t="array" ref="NW12">BinomialTreeCall(K, S, T, rate, vol, Principal, NW11)</f>
        <v>396395.61037502339</v>
      </c>
      <c r="NX12" cm="1">
        <f t="array" ref="NX12">BinomialTreeCall(K, S, T, rate, vol, Principal, NX11)</f>
        <v>396462.47596013511</v>
      </c>
      <c r="NY12" cm="1">
        <f t="array" ref="NY12">BinomialTreeCall(K, S, T, rate, vol, Principal, NY11)</f>
        <v>396417.01395390241</v>
      </c>
      <c r="NZ12" cm="1">
        <f t="array" ref="NZ12">BinomialTreeCall(K, S, T, rate, vol, Principal, NZ11)</f>
        <v>396443.61742268805</v>
      </c>
      <c r="OA12" cm="1">
        <f t="array" ref="OA12">BinomialTreeCall(K, S, T, rate, vol, Principal, OA11)</f>
        <v>396436.9841870392</v>
      </c>
      <c r="OB12" cm="1">
        <f t="array" ref="OB12">BinomialTreeCall(K, S, T, rate, vol, Principal, OB11)</f>
        <v>396423.75444582087</v>
      </c>
      <c r="OC12" cm="1">
        <f t="array" ref="OC12">BinomialTreeCall(K, S, T, rate, vol, Principal, OC11)</f>
        <v>396455.5477423218</v>
      </c>
      <c r="OD12" cm="1">
        <f t="array" ref="OD12">BinomialTreeCall(K, S, T, rate, vol, Principal, OD11)</f>
        <v>396402.90785323409</v>
      </c>
      <c r="OE12" cm="1">
        <f t="array" ref="OE12">BinomialTreeCall(K, S, T, rate, vol, Principal, OE11)</f>
        <v>396472.73074678623</v>
      </c>
      <c r="OF12" cm="1">
        <f t="array" ref="OF12">BinomialTreeCall(K, S, T, rate, vol, Principal, OF11)</f>
        <v>396381.0980276289</v>
      </c>
      <c r="OG12" cm="1">
        <f t="array" ref="OG12">BinomialTreeCall(K, S, T, rate, vol, Principal, OG11)</f>
        <v>396488.55879957136</v>
      </c>
      <c r="OH12" cm="1">
        <f t="array" ref="OH12">BinomialTreeCall(K, S, T, rate, vol, Principal, OH11)</f>
        <v>396358.34492091445</v>
      </c>
      <c r="OI12" cm="1">
        <f t="array" ref="OI12">BinomialTreeCall(K, S, T, rate, vol, Principal, OI11)</f>
        <v>396503.05698410171</v>
      </c>
      <c r="OJ12" cm="1">
        <f t="array" ref="OJ12">BinomialTreeCall(K, S, T, rate, vol, Principal, OJ11)</f>
        <v>396334.66806442873</v>
      </c>
      <c r="OK12" cm="1">
        <f t="array" ref="OK12">BinomialTreeCall(K, S, T, rate, vol, Principal, OK11)</f>
        <v>396516.24987936986</v>
      </c>
      <c r="OL12" cm="1">
        <f t="array" ref="OL12">BinomialTreeCall(K, S, T, rate, vol, Principal, OL11)</f>
        <v>396310.08657922648</v>
      </c>
      <c r="OM12" cm="1">
        <f t="array" ref="OM12">BinomialTreeCall(K, S, T, rate, vol, Principal, OM11)</f>
        <v>396528.16157334036</v>
      </c>
      <c r="ON12" cm="1">
        <f t="array" ref="ON12">BinomialTreeCall(K, S, T, rate, vol, Principal, ON11)</f>
        <v>396284.61918587133</v>
      </c>
      <c r="OO12" cm="1">
        <f t="array" ref="OO12">BinomialTreeCall(K, S, T, rate, vol, Principal, OO11)</f>
        <v>396538.81567213289</v>
      </c>
      <c r="OP12" cm="1">
        <f t="array" ref="OP12">BinomialTreeCall(K, S, T, rate, vol, Principal, OP11)</f>
        <v>396258.28421379626</v>
      </c>
      <c r="OQ12" cm="1">
        <f t="array" ref="OQ12">BinomialTreeCall(K, S, T, rate, vol, Principal, OQ11)</f>
        <v>396548.23531315284</v>
      </c>
      <c r="OR12" cm="1">
        <f t="array" ref="OR12">BinomialTreeCall(K, S, T, rate, vol, Principal, OR11)</f>
        <v>396231.0996108501</v>
      </c>
      <c r="OS12" cm="1">
        <f t="array" ref="OS12">BinomialTreeCall(K, S, T, rate, vol, Principal, OS11)</f>
        <v>396556.44317386113</v>
      </c>
      <c r="OT12" cm="1">
        <f t="array" ref="OT12">BinomialTreeCall(K, S, T, rate, vol, Principal, OT11)</f>
        <v>396203.0829520796</v>
      </c>
      <c r="OU12" cm="1">
        <f t="array" ref="OU12">BinomialTreeCall(K, S, T, rate, vol, Principal, OU11)</f>
        <v>396563.46148415108</v>
      </c>
      <c r="OV12" cm="1">
        <f t="array" ref="OV12">BinomialTreeCall(K, S, T, rate, vol, Principal, OV11)</f>
        <v>396174.25144854089</v>
      </c>
      <c r="OW12" cm="1">
        <f t="array" ref="OW12">BinomialTreeCall(K, S, T, rate, vol, Principal, OW11)</f>
        <v>396569.31203516462</v>
      </c>
      <c r="OX12" cm="1">
        <f t="array" ref="OX12">BinomialTreeCall(K, S, T, rate, vol, Principal, OX11)</f>
        <v>396144.62195561378</v>
      </c>
      <c r="OY12" cm="1">
        <f t="array" ref="OY12">BinomialTreeCall(K, S, T, rate, vol, Principal, OY11)</f>
        <v>396574.01618996449</v>
      </c>
      <c r="OZ12" cm="1">
        <f t="array" ref="OZ12">BinomialTreeCall(K, S, T, rate, vol, Principal, OZ11)</f>
        <v>396114.21098150522</v>
      </c>
      <c r="PA12" cm="1">
        <f t="array" ref="PA12">BinomialTreeCall(K, S, T, rate, vol, Principal, PA11)</f>
        <v>396577.59489273123</v>
      </c>
      <c r="PB12" cm="1">
        <f t="array" ref="PB12">BinomialTreeCall(K, S, T, rate, vol, Principal, PB11)</f>
        <v>396083.03469587606</v>
      </c>
      <c r="PC12" cm="1">
        <f t="array" ref="PC12">BinomialTreeCall(K, S, T, rate, vol, Principal, PC11)</f>
        <v>396580.06867882388</v>
      </c>
      <c r="PD12" cm="1">
        <f t="array" ref="PD12">BinomialTreeCall(K, S, T, rate, vol, Principal, PD11)</f>
        <v>396051.1089363019</v>
      </c>
      <c r="PE12" cm="1">
        <f t="array" ref="PE12">BinomialTreeCall(K, S, T, rate, vol, Principal, PE11)</f>
        <v>396581.45768299123</v>
      </c>
      <c r="PF12" cm="1">
        <f t="array" ref="PF12">BinomialTreeCall(K, S, T, rate, vol, Principal, PF11)</f>
        <v>396018.44921777671</v>
      </c>
      <c r="PG12" cm="1">
        <f t="array" ref="PG12">BinomialTreeCall(K, S, T, rate, vol, Principal, PG11)</f>
        <v>396581.78164941532</v>
      </c>
      <c r="PH12" cm="1">
        <f t="array" ref="PH12">BinomialTreeCall(K, S, T, rate, vol, Principal, PH11)</f>
        <v>395995.4353302836</v>
      </c>
      <c r="PI12" cm="1">
        <f t="array" ref="PI12">BinomialTreeCall(K, S, T, rate, vol, Principal, PI11)</f>
        <v>396581.05993992032</v>
      </c>
      <c r="PJ12" cm="1">
        <f t="array" ref="PJ12">BinomialTreeCall(K, S, T, rate, vol, Principal, PJ11)</f>
        <v>396031.10902707727</v>
      </c>
      <c r="PK12" cm="1">
        <f t="array" ref="PK12">BinomialTreeCall(K, S, T, rate, vol, Principal, PK11)</f>
        <v>396579.3115423788</v>
      </c>
      <c r="PL12" cm="1">
        <f t="array" ref="PL12">BinomialTreeCall(K, S, T, rate, vol, Principal, PL11)</f>
        <v>396065.41482165642</v>
      </c>
      <c r="PM12" cm="1">
        <f t="array" ref="PM12">BinomialTreeCall(K, S, T, rate, vol, Principal, PM11)</f>
        <v>396576.55507889617</v>
      </c>
      <c r="PN12" cm="1">
        <f t="array" ref="PN12">BinomialTreeCall(K, S, T, rate, vol, Principal, PN11)</f>
        <v>396098.37542843889</v>
      </c>
      <c r="PO12" cm="1">
        <f t="array" ref="PO12">BinomialTreeCall(K, S, T, rate, vol, Principal, PO11)</f>
        <v>396572.80881446489</v>
      </c>
      <c r="PP12" cm="1">
        <f t="array" ref="PP12">BinomialTreeCall(K, S, T, rate, vol, Principal, PP11)</f>
        <v>396130.01314367412</v>
      </c>
      <c r="PQ12" cm="1">
        <f t="array" ref="PQ12">BinomialTreeCall(K, S, T, rate, vol, Principal, PQ11)</f>
        <v>396568.09066383255</v>
      </c>
      <c r="PR12" cm="1">
        <f t="array" ref="PR12">BinomialTreeCall(K, S, T, rate, vol, Principal, PR11)</f>
        <v>396160.34985392366</v>
      </c>
      <c r="PS12" cm="1">
        <f t="array" ref="PS12">BinomialTreeCall(K, S, T, rate, vol, Principal, PS11)</f>
        <v>396562.41820065293</v>
      </c>
      <c r="PT12" cm="1">
        <f t="array" ref="PT12">BinomialTreeCall(K, S, T, rate, vol, Principal, PT11)</f>
        <v>396189.40704553243</v>
      </c>
      <c r="PU12" cm="1">
        <f t="array" ref="PU12">BinomialTreeCall(K, S, T, rate, vol, Principal, PU11)</f>
        <v>396555.80866336968</v>
      </c>
      <c r="PV12" cm="1">
        <f t="array" ref="PV12">BinomialTreeCall(K, S, T, rate, vol, Principal, PV11)</f>
        <v>396217.20581213001</v>
      </c>
      <c r="PW12" cm="1">
        <f t="array" ref="PW12">BinomialTreeCall(K, S, T, rate, vol, Principal, PW11)</f>
        <v>396548.27896351804</v>
      </c>
      <c r="PX12" cm="1">
        <f t="array" ref="PX12">BinomialTreeCall(K, S, T, rate, vol, Principal, PX11)</f>
        <v>396243.76686417835</v>
      </c>
      <c r="PY12" cm="1">
        <f t="array" ref="PY12">BinomialTreeCall(K, S, T, rate, vol, Principal, PY11)</f>
        <v>396539.84569268482</v>
      </c>
      <c r="PZ12" cm="1">
        <f t="array" ref="PZ12">BinomialTreeCall(K, S, T, rate, vol, Principal, PZ11)</f>
        <v>396269.11053588218</v>
      </c>
      <c r="QA12" cm="1">
        <f t="array" ref="QA12">BinomialTreeCall(K, S, T, rate, vol, Principal, QA11)</f>
        <v>396530.52512860677</v>
      </c>
      <c r="QB12" cm="1">
        <f t="array" ref="QB12">BinomialTreeCall(K, S, T, rate, vol, Principal, QB11)</f>
        <v>396293.25679371326</v>
      </c>
      <c r="QC12" cm="1">
        <f t="array" ref="QC12">BinomialTreeCall(K, S, T, rate, vol, Principal, QC11)</f>
        <v>396520.33324362815</v>
      </c>
      <c r="QD12" cm="1">
        <f t="array" ref="QD12">BinomialTreeCall(K, S, T, rate, vol, Principal, QD11)</f>
        <v>396316.22524424747</v>
      </c>
      <c r="QE12" cm="1">
        <f t="array" ref="QE12">BinomialTreeCall(K, S, T, rate, vol, Principal, QE11)</f>
        <v>396509.28570962383</v>
      </c>
      <c r="QF12" cm="1">
        <f t="array" ref="QF12">BinomialTreeCall(K, S, T, rate, vol, Principal, QF11)</f>
        <v>396338.03514140169</v>
      </c>
      <c r="QG12" cm="1">
        <f t="array" ref="QG12">BinomialTreeCall(K, S, T, rate, vol, Principal, QG11)</f>
        <v>396497.39790512051</v>
      </c>
      <c r="QH12" cm="1">
        <f t="array" ref="QH12">BinomialTreeCall(K, S, T, rate, vol, Principal, QH11)</f>
        <v>396358.70539329411</v>
      </c>
      <c r="QI12" cm="1">
        <f t="array" ref="QI12">BinomialTreeCall(K, S, T, rate, vol, Principal, QI11)</f>
        <v>396484.68492164253</v>
      </c>
      <c r="QJ12" cm="1">
        <f t="array" ref="QJ12">BinomialTreeCall(K, S, T, rate, vol, Principal, QJ11)</f>
        <v>396378.25457062235</v>
      </c>
    </row>
    <row r="13" spans="1:452" x14ac:dyDescent="0.3">
      <c r="A13" s="2" t="s">
        <v>19</v>
      </c>
      <c r="B13">
        <f t="shared" ref="B13:AG13" si="306">B12-$B$9</f>
        <v>472.68673219467746</v>
      </c>
      <c r="C13">
        <f t="shared" si="306"/>
        <v>-357.45634304231498</v>
      </c>
      <c r="D13">
        <f t="shared" si="306"/>
        <v>848.7308483752422</v>
      </c>
      <c r="E13">
        <f t="shared" si="306"/>
        <v>-960.38917138724355</v>
      </c>
      <c r="F13">
        <f t="shared" si="306"/>
        <v>1109.3531689828378</v>
      </c>
      <c r="G13">
        <f t="shared" si="306"/>
        <v>-1590.6668039644137</v>
      </c>
      <c r="H13">
        <f t="shared" si="306"/>
        <v>1270.9089628976653</v>
      </c>
      <c r="I13">
        <f t="shared" si="306"/>
        <v>-2241.8007309751702</v>
      </c>
      <c r="J13">
        <f t="shared" si="306"/>
        <v>1347.2387799613643</v>
      </c>
      <c r="K13">
        <f t="shared" si="306"/>
        <v>-2908.4656709911651</v>
      </c>
      <c r="L13">
        <f t="shared" si="306"/>
        <v>1350.1062078577816</v>
      </c>
      <c r="M13">
        <f t="shared" si="306"/>
        <v>-2954.6075605828082</v>
      </c>
      <c r="N13">
        <f t="shared" si="306"/>
        <v>1289.5499970483943</v>
      </c>
      <c r="O13">
        <f t="shared" si="306"/>
        <v>-2203.6110368437367</v>
      </c>
      <c r="P13">
        <f t="shared" si="306"/>
        <v>1174.1691233558813</v>
      </c>
      <c r="Q13">
        <f t="shared" si="306"/>
        <v>-1560.6142671523266</v>
      </c>
      <c r="R13">
        <f t="shared" si="306"/>
        <v>1011.3549516841304</v>
      </c>
      <c r="S13">
        <f t="shared" si="306"/>
        <v>-1013.8396659773425</v>
      </c>
      <c r="T13">
        <f t="shared" si="306"/>
        <v>807.48138777696295</v>
      </c>
      <c r="U13">
        <f t="shared" si="306"/>
        <v>-552.96407577960053</v>
      </c>
      <c r="V13">
        <f t="shared" si="306"/>
        <v>568.06145055050729</v>
      </c>
      <c r="W13">
        <f t="shared" si="306"/>
        <v>-168.91226521396311</v>
      </c>
      <c r="X13">
        <f t="shared" si="306"/>
        <v>297.87684293318307</v>
      </c>
      <c r="Y13">
        <f t="shared" si="306"/>
        <v>146.31634452886647</v>
      </c>
      <c r="Z13">
        <f t="shared" si="306"/>
        <v>1.0856861683423631</v>
      </c>
      <c r="AA13">
        <f t="shared" si="306"/>
        <v>399.79368609702215</v>
      </c>
      <c r="AB13">
        <f t="shared" si="306"/>
        <v>-318.68750079744495</v>
      </c>
      <c r="AC13">
        <f t="shared" si="306"/>
        <v>597.78657212958205</v>
      </c>
      <c r="AD13">
        <f t="shared" si="306"/>
        <v>-658.27633169991896</v>
      </c>
      <c r="AE13">
        <f t="shared" si="306"/>
        <v>745.86160253209528</v>
      </c>
      <c r="AF13">
        <f t="shared" si="306"/>
        <v>-1014.9089990090579</v>
      </c>
      <c r="AG13">
        <f t="shared" si="306"/>
        <v>848.97458522918168</v>
      </c>
      <c r="AH13">
        <f t="shared" ref="AH13:BB13" si="307">AH12-$B$9</f>
        <v>-1386.1545502284425</v>
      </c>
      <c r="AI13">
        <f t="shared" si="307"/>
        <v>911.54702245310182</v>
      </c>
      <c r="AJ13">
        <f t="shared" si="307"/>
        <v>-1769.8773093190393</v>
      </c>
      <c r="AK13">
        <f t="shared" si="307"/>
        <v>937.53175119229127</v>
      </c>
      <c r="AL13">
        <f t="shared" si="307"/>
        <v>-2164.1980754954857</v>
      </c>
      <c r="AM13">
        <f t="shared" si="307"/>
        <v>930.46945574582787</v>
      </c>
      <c r="AN13">
        <f t="shared" si="307"/>
        <v>-1972.0018982602051</v>
      </c>
      <c r="AO13">
        <f t="shared" si="307"/>
        <v>893.53746920009144</v>
      </c>
      <c r="AP13">
        <f t="shared" si="307"/>
        <v>-1545.279050371435</v>
      </c>
      <c r="AQ13">
        <f t="shared" si="307"/>
        <v>829.59203919779975</v>
      </c>
      <c r="AR13">
        <f t="shared" si="307"/>
        <v>-1167.2992617659038</v>
      </c>
      <c r="AS13">
        <f t="shared" si="307"/>
        <v>741.20503592171008</v>
      </c>
      <c r="AT13">
        <f t="shared" si="307"/>
        <v>-834.20175681484398</v>
      </c>
      <c r="AU13">
        <f t="shared" si="307"/>
        <v>630.69591765740188</v>
      </c>
      <c r="AV13">
        <f t="shared" si="307"/>
        <v>-542.47121417347807</v>
      </c>
      <c r="AW13">
        <f t="shared" si="307"/>
        <v>500.15963905869285</v>
      </c>
      <c r="AX13">
        <f t="shared" si="307"/>
        <v>-288.90209053095896</v>
      </c>
      <c r="AY13">
        <f t="shared" si="307"/>
        <v>351.49107664119219</v>
      </c>
      <c r="AZ13">
        <f t="shared" si="307"/>
        <v>-70.567141199193429</v>
      </c>
      <c r="BA13">
        <f t="shared" si="307"/>
        <v>186.4064569924376</v>
      </c>
      <c r="BB13">
        <f t="shared" si="307"/>
        <v>115.21041538077407</v>
      </c>
      <c r="BC13">
        <f t="shared" ref="BC13:BM13" si="308">BC12-$B$9</f>
        <v>6.4621982292155735</v>
      </c>
      <c r="BD13">
        <f t="shared" si="308"/>
        <v>270.88156221271493</v>
      </c>
      <c r="BE13">
        <f t="shared" si="308"/>
        <v>-186.92848634702386</v>
      </c>
      <c r="BF13">
        <f t="shared" si="308"/>
        <v>398.69338270474691</v>
      </c>
      <c r="BG13">
        <f t="shared" si="308"/>
        <v>-392.4809265313088</v>
      </c>
      <c r="BH13">
        <f t="shared" si="308"/>
        <v>500.70854168245569</v>
      </c>
      <c r="BI13">
        <f t="shared" si="308"/>
        <v>-609.02602107007988</v>
      </c>
      <c r="BJ13">
        <f t="shared" si="308"/>
        <v>578.82264774065698</v>
      </c>
      <c r="BK13">
        <f t="shared" si="308"/>
        <v>-835.49873499450041</v>
      </c>
      <c r="BL13">
        <f t="shared" si="308"/>
        <v>634.77975604357198</v>
      </c>
      <c r="BM13">
        <f t="shared" si="308"/>
        <v>-1070.9278822380584</v>
      </c>
      <c r="BN13">
        <f t="shared" ref="BN13:DY13" si="309">BN12-$B$9</f>
        <v>670.1862339200452</v>
      </c>
      <c r="BO13">
        <f t="shared" si="309"/>
        <v>-1314.427033011918</v>
      </c>
      <c r="BP13">
        <f t="shared" si="309"/>
        <v>686.52318450290477</v>
      </c>
      <c r="BQ13">
        <f t="shared" si="309"/>
        <v>-1565.1864086111891</v>
      </c>
      <c r="BR13">
        <f t="shared" si="309"/>
        <v>685.15759537351551</v>
      </c>
      <c r="BS13">
        <f t="shared" si="309"/>
        <v>-1524.1668254570104</v>
      </c>
      <c r="BT13">
        <f t="shared" si="309"/>
        <v>667.3523601530469</v>
      </c>
      <c r="BU13">
        <f t="shared" si="309"/>
        <v>-1248.0954439023044</v>
      </c>
      <c r="BV13">
        <f t="shared" si="309"/>
        <v>634.27529983839486</v>
      </c>
      <c r="BW13">
        <f t="shared" si="309"/>
        <v>-997.66602895222604</v>
      </c>
      <c r="BX13">
        <f t="shared" si="309"/>
        <v>587.00729699467774</v>
      </c>
      <c r="BY13">
        <f t="shared" si="309"/>
        <v>-771.33292325108778</v>
      </c>
      <c r="BZ13">
        <f t="shared" si="309"/>
        <v>526.54963921383023</v>
      </c>
      <c r="CA13">
        <f t="shared" si="309"/>
        <v>-567.65553325868677</v>
      </c>
      <c r="CB13">
        <f t="shared" si="309"/>
        <v>453.83065972197801</v>
      </c>
      <c r="CC13">
        <f t="shared" si="309"/>
        <v>-385.29006734443828</v>
      </c>
      <c r="CD13">
        <f t="shared" si="309"/>
        <v>369.71174889226677</v>
      </c>
      <c r="CE13">
        <f t="shared" si="309"/>
        <v>-222.98201525490731</v>
      </c>
      <c r="CF13">
        <f t="shared" si="309"/>
        <v>274.99280525546055</v>
      </c>
      <c r="CG13">
        <f t="shared" si="309"/>
        <v>-79.559296349296346</v>
      </c>
      <c r="CH13">
        <f t="shared" si="309"/>
        <v>170.41718286799733</v>
      </c>
      <c r="CI13">
        <f t="shared" si="309"/>
        <v>46.073991953628138</v>
      </c>
      <c r="CJ13">
        <f t="shared" si="309"/>
        <v>56.676188396930229</v>
      </c>
      <c r="CK13">
        <f t="shared" si="309"/>
        <v>154.94328431523172</v>
      </c>
      <c r="CL13">
        <f t="shared" si="309"/>
        <v>-65.586826279875822</v>
      </c>
      <c r="CM13">
        <f t="shared" si="309"/>
        <v>248.00876804662403</v>
      </c>
      <c r="CN13">
        <f t="shared" si="309"/>
        <v>-195.77273594442522</v>
      </c>
      <c r="CO13">
        <f t="shared" si="309"/>
        <v>326.17016243666876</v>
      </c>
      <c r="CP13">
        <f t="shared" si="309"/>
        <v>-333.32324108574539</v>
      </c>
      <c r="CQ13">
        <f t="shared" si="309"/>
        <v>390.27109858405311</v>
      </c>
      <c r="CR13">
        <f t="shared" si="309"/>
        <v>-477.7177624044125</v>
      </c>
      <c r="CS13">
        <f t="shared" si="309"/>
        <v>441.10313688119641</v>
      </c>
      <c r="CT13">
        <f t="shared" si="309"/>
        <v>-628.47060216061072</v>
      </c>
      <c r="CU13">
        <f t="shared" si="309"/>
        <v>479.4094559091609</v>
      </c>
      <c r="CV13">
        <f t="shared" si="309"/>
        <v>-785.1283460323466</v>
      </c>
      <c r="CW13">
        <f t="shared" si="309"/>
        <v>505.88824396807468</v>
      </c>
      <c r="CX13">
        <f t="shared" si="309"/>
        <v>-947.26748378202319</v>
      </c>
      <c r="CY13">
        <f t="shared" si="309"/>
        <v>521.19581845903303</v>
      </c>
      <c r="CZ13">
        <f t="shared" si="309"/>
        <v>-1114.4922268904629</v>
      </c>
      <c r="DA13">
        <f t="shared" si="309"/>
        <v>525.94949948688736</v>
      </c>
      <c r="DB13">
        <f t="shared" si="309"/>
        <v>-1286.4325055048685</v>
      </c>
      <c r="DC13">
        <f t="shared" si="309"/>
        <v>520.73025860096095</v>
      </c>
      <c r="DD13">
        <f t="shared" si="309"/>
        <v>-1096.915793328546</v>
      </c>
      <c r="DE13">
        <f t="shared" si="309"/>
        <v>506.08516186167253</v>
      </c>
      <c r="DF13">
        <f t="shared" si="309"/>
        <v>-917.44629271753365</v>
      </c>
      <c r="DG13">
        <f t="shared" si="309"/>
        <v>482.52962685597595</v>
      </c>
      <c r="DH13">
        <f t="shared" si="309"/>
        <v>-752.19834643328795</v>
      </c>
      <c r="DI13">
        <f t="shared" si="309"/>
        <v>450.5495078341919</v>
      </c>
      <c r="DJ13">
        <f t="shared" si="309"/>
        <v>-600.50115805718815</v>
      </c>
      <c r="DK13">
        <f t="shared" si="309"/>
        <v>410.6030250757467</v>
      </c>
      <c r="DL13">
        <f t="shared" si="309"/>
        <v>-461.71947010722943</v>
      </c>
      <c r="DM13">
        <f t="shared" si="309"/>
        <v>363.12255060364259</v>
      </c>
      <c r="DN13">
        <f t="shared" si="309"/>
        <v>-335.25138300855178</v>
      </c>
      <c r="DO13">
        <f t="shared" si="309"/>
        <v>308.51626288314583</v>
      </c>
      <c r="DP13">
        <f t="shared" si="309"/>
        <v>-220.52632831956726</v>
      </c>
      <c r="DQ13">
        <f t="shared" si="309"/>
        <v>247.16968111146707</v>
      </c>
      <c r="DR13">
        <f t="shared" si="309"/>
        <v>-117.00318215508014</v>
      </c>
      <c r="DS13">
        <f t="shared" si="309"/>
        <v>179.44708852865733</v>
      </c>
      <c r="DT13">
        <f t="shared" si="309"/>
        <v>-24.168509388458915</v>
      </c>
      <c r="DU13">
        <f t="shared" si="309"/>
        <v>105.69285484473221</v>
      </c>
      <c r="DV13">
        <f t="shared" si="309"/>
        <v>58.465073039755225</v>
      </c>
      <c r="DW13">
        <f t="shared" si="309"/>
        <v>26.232664773939177</v>
      </c>
      <c r="DX13">
        <f t="shared" si="309"/>
        <v>131.36042117816396</v>
      </c>
      <c r="DY13">
        <f t="shared" si="309"/>
        <v>-58.62533958198037</v>
      </c>
      <c r="DZ13">
        <f t="shared" ref="DZ13:GK13" si="310">DZ12-$B$9</f>
        <v>194.95728805701947</v>
      </c>
      <c r="EA13">
        <f t="shared" si="310"/>
        <v>-148.58949515456334</v>
      </c>
      <c r="EB13">
        <f t="shared" si="310"/>
        <v>249.67365199705819</v>
      </c>
      <c r="EC13">
        <f t="shared" si="310"/>
        <v>-243.38362773356494</v>
      </c>
      <c r="ED13">
        <f t="shared" si="310"/>
        <v>295.90695830009645</v>
      </c>
      <c r="EE13">
        <f t="shared" si="310"/>
        <v>-342.74612939573126</v>
      </c>
      <c r="EF13">
        <f t="shared" si="310"/>
        <v>334.03527976188343</v>
      </c>
      <c r="EG13">
        <f t="shared" si="310"/>
        <v>-446.42909756448353</v>
      </c>
      <c r="EH13">
        <f t="shared" si="310"/>
        <v>364.4184021622641</v>
      </c>
      <c r="EI13">
        <f t="shared" si="310"/>
        <v>-554.1975322086364</v>
      </c>
      <c r="EJ13">
        <f t="shared" si="310"/>
        <v>387.39884012797847</v>
      </c>
      <c r="EK13">
        <f t="shared" si="310"/>
        <v>-665.8285860644537</v>
      </c>
      <c r="EL13">
        <f t="shared" si="310"/>
        <v>403.30278873920906</v>
      </c>
      <c r="EM13">
        <f t="shared" si="310"/>
        <v>-781.11086420161882</v>
      </c>
      <c r="EN13">
        <f t="shared" si="310"/>
        <v>412.44101486599538</v>
      </c>
      <c r="EO13">
        <f t="shared" si="310"/>
        <v>-899.84376908594277</v>
      </c>
      <c r="EP13">
        <f t="shared" si="310"/>
        <v>415.10969356284477</v>
      </c>
      <c r="EQ13">
        <f t="shared" si="310"/>
        <v>-1013.7954877294833</v>
      </c>
      <c r="ER13">
        <f t="shared" si="310"/>
        <v>411.59119188413024</v>
      </c>
      <c r="ES13">
        <f t="shared" si="310"/>
        <v>-877.96357214369345</v>
      </c>
      <c r="ET13">
        <f t="shared" si="310"/>
        <v>402.15480536717223</v>
      </c>
      <c r="EU13">
        <f t="shared" si="310"/>
        <v>-751.11884827347239</v>
      </c>
      <c r="EV13">
        <f t="shared" si="310"/>
        <v>387.05744881997816</v>
      </c>
      <c r="EW13">
        <f t="shared" si="310"/>
        <v>-632.91818998329109</v>
      </c>
      <c r="EX13">
        <f t="shared" si="310"/>
        <v>366.5443067146698</v>
      </c>
      <c r="EY13">
        <f t="shared" si="310"/>
        <v>-523.03318029240472</v>
      </c>
      <c r="EZ13">
        <f t="shared" si="310"/>
        <v>340.84944322670344</v>
      </c>
      <c r="FA13">
        <f t="shared" si="310"/>
        <v>-421.14937989664031</v>
      </c>
      <c r="FB13">
        <f t="shared" si="310"/>
        <v>310.19637705158675</v>
      </c>
      <c r="FC13">
        <f t="shared" si="310"/>
        <v>-326.9656376769999</v>
      </c>
      <c r="FD13">
        <f t="shared" si="310"/>
        <v>274.79862203012453</v>
      </c>
      <c r="FE13">
        <f t="shared" si="310"/>
        <v>-240.19344066688791</v>
      </c>
      <c r="FF13">
        <f t="shared" si="310"/>
        <v>234.86019625270274</v>
      </c>
      <c r="FG13">
        <f t="shared" si="310"/>
        <v>-160.55629963503452</v>
      </c>
      <c r="FH13">
        <f t="shared" si="310"/>
        <v>190.57610155444127</v>
      </c>
      <c r="FI13">
        <f t="shared" si="310"/>
        <v>-87.7891696098377</v>
      </c>
      <c r="FJ13">
        <f t="shared" si="310"/>
        <v>142.13277560222195</v>
      </c>
      <c r="FK13">
        <f t="shared" si="310"/>
        <v>-21.63790227053687</v>
      </c>
      <c r="FL13">
        <f t="shared" si="310"/>
        <v>89.708517972845584</v>
      </c>
      <c r="FM13">
        <f t="shared" si="310"/>
        <v>38.141271726984996</v>
      </c>
      <c r="FN13">
        <f t="shared" si="310"/>
        <v>33.473892341600731</v>
      </c>
      <c r="FO13">
        <f t="shared" si="310"/>
        <v>91.782232674537227</v>
      </c>
      <c r="FP13">
        <f t="shared" si="310"/>
        <v>-26.407894061878324</v>
      </c>
      <c r="FQ13">
        <f t="shared" si="310"/>
        <v>139.50943408085732</v>
      </c>
      <c r="FR13">
        <f t="shared" si="310"/>
        <v>-89.780632276262622</v>
      </c>
      <c r="FS13">
        <f t="shared" si="310"/>
        <v>181.53834133880446</v>
      </c>
      <c r="FT13">
        <f t="shared" si="310"/>
        <v>-156.49477291904623</v>
      </c>
      <c r="FU13">
        <f t="shared" si="310"/>
        <v>218.07584630587371</v>
      </c>
      <c r="FV13">
        <f t="shared" si="310"/>
        <v>-226.40710664913058</v>
      </c>
      <c r="FW13">
        <f t="shared" si="310"/>
        <v>249.32066043076338</v>
      </c>
      <c r="FX13">
        <f t="shared" si="310"/>
        <v>-299.38046122749802</v>
      </c>
      <c r="FY13">
        <f t="shared" si="310"/>
        <v>275.46368687856011</v>
      </c>
      <c r="FZ13">
        <f t="shared" si="310"/>
        <v>-375.28341592435027</v>
      </c>
      <c r="GA13">
        <f t="shared" si="310"/>
        <v>296.68837374768918</v>
      </c>
      <c r="GB13">
        <f t="shared" si="310"/>
        <v>-453.99003065319266</v>
      </c>
      <c r="GC13">
        <f t="shared" si="310"/>
        <v>313.17104822589317</v>
      </c>
      <c r="GD13">
        <f t="shared" si="310"/>
        <v>-535.3795897650416</v>
      </c>
      <c r="GE13">
        <f t="shared" si="310"/>
        <v>325.08123443176737</v>
      </c>
      <c r="GF13">
        <f t="shared" si="310"/>
        <v>-619.33635943452828</v>
      </c>
      <c r="GG13">
        <f t="shared" si="310"/>
        <v>332.58195439254632</v>
      </c>
      <c r="GH13">
        <f t="shared" si="310"/>
        <v>-705.74935785471462</v>
      </c>
      <c r="GI13">
        <f t="shared" si="310"/>
        <v>335.83001451572636</v>
      </c>
      <c r="GJ13">
        <f t="shared" si="310"/>
        <v>-794.51213722676039</v>
      </c>
      <c r="GK13">
        <f t="shared" si="310"/>
        <v>334.97627677401761</v>
      </c>
      <c r="GL13">
        <f t="shared" ref="GL13:IW13" si="311">GL12-$B$9</f>
        <v>-757.82990544015775</v>
      </c>
      <c r="GM13">
        <f t="shared" si="311"/>
        <v>330.1659167247708</v>
      </c>
      <c r="GN13">
        <f t="shared" si="311"/>
        <v>-662.63846973568434</v>
      </c>
      <c r="GO13">
        <f t="shared" si="311"/>
        <v>321.53866908408236</v>
      </c>
      <c r="GP13">
        <f t="shared" si="311"/>
        <v>-573.05780641967431</v>
      </c>
      <c r="GQ13">
        <f t="shared" si="311"/>
        <v>309.22906095715007</v>
      </c>
      <c r="GR13">
        <f t="shared" si="311"/>
        <v>-488.91231851576595</v>
      </c>
      <c r="GS13">
        <f t="shared" si="311"/>
        <v>293.36663299769862</v>
      </c>
      <c r="GT13">
        <f t="shared" si="311"/>
        <v>-410.03255412977887</v>
      </c>
      <c r="GU13">
        <f t="shared" si="311"/>
        <v>274.07615088240709</v>
      </c>
      <c r="GV13">
        <f t="shared" si="311"/>
        <v>-336.25495748757385</v>
      </c>
      <c r="GW13">
        <f t="shared" si="311"/>
        <v>251.47780605696607</v>
      </c>
      <c r="GX13">
        <f t="shared" si="311"/>
        <v>-267.4216307667084</v>
      </c>
      <c r="GY13">
        <f t="shared" si="311"/>
        <v>225.68740672449348</v>
      </c>
      <c r="GZ13">
        <f t="shared" si="311"/>
        <v>-203.38010730315</v>
      </c>
      <c r="HA13">
        <f t="shared" si="311"/>
        <v>196.81655984156532</v>
      </c>
      <c r="HB13">
        <f t="shared" si="311"/>
        <v>-143.98313583846902</v>
      </c>
      <c r="HC13">
        <f t="shared" si="311"/>
        <v>164.9728445330984</v>
      </c>
      <c r="HD13">
        <f t="shared" si="311"/>
        <v>-89.088473474315833</v>
      </c>
      <c r="HE13">
        <f t="shared" si="311"/>
        <v>130.2599776663119</v>
      </c>
      <c r="HF13">
        <f t="shared" si="311"/>
        <v>-38.558688871271443</v>
      </c>
      <c r="HG13">
        <f t="shared" si="311"/>
        <v>92.777970770956017</v>
      </c>
      <c r="HH13">
        <f t="shared" si="311"/>
        <v>7.7390259042731486</v>
      </c>
      <c r="HI13">
        <f t="shared" si="311"/>
        <v>52.623280689236708</v>
      </c>
      <c r="HJ13">
        <f t="shared" si="311"/>
        <v>49.933034918678459</v>
      </c>
      <c r="HK13">
        <f t="shared" si="311"/>
        <v>9.8889526705606841</v>
      </c>
      <c r="HL13">
        <f t="shared" si="311"/>
        <v>88.147430541459471</v>
      </c>
      <c r="HM13">
        <f t="shared" si="311"/>
        <v>-35.335242759960238</v>
      </c>
      <c r="HN13">
        <f t="shared" si="311"/>
        <v>122.50219700060552</v>
      </c>
      <c r="HO13">
        <f t="shared" si="311"/>
        <v>-82.96267992554931</v>
      </c>
      <c r="HP13">
        <f t="shared" si="311"/>
        <v>153.11336784693412</v>
      </c>
      <c r="HQ13">
        <f t="shared" si="311"/>
        <v>-132.90975302382139</v>
      </c>
      <c r="HR13">
        <f t="shared" si="311"/>
        <v>180.09317506663501</v>
      </c>
      <c r="HS13">
        <f t="shared" si="311"/>
        <v>-185.09575687500183</v>
      </c>
      <c r="HT13">
        <f t="shared" si="311"/>
        <v>203.55019366106717</v>
      </c>
      <c r="HU13">
        <f t="shared" si="311"/>
        <v>-239.44277406757465</v>
      </c>
      <c r="HV13">
        <f t="shared" si="311"/>
        <v>223.58947789319791</v>
      </c>
      <c r="HW13">
        <f t="shared" si="311"/>
        <v>-295.875566279341</v>
      </c>
      <c r="HX13">
        <f t="shared" si="311"/>
        <v>240.31269335019169</v>
      </c>
      <c r="HY13">
        <f t="shared" si="311"/>
        <v>-354.32146997615928</v>
      </c>
      <c r="HZ13">
        <f t="shared" si="311"/>
        <v>253.81824239320122</v>
      </c>
      <c r="IA13">
        <f t="shared" si="311"/>
        <v>-414.7102980093332</v>
      </c>
      <c r="IB13">
        <f t="shared" si="311"/>
        <v>264.20138454186963</v>
      </c>
      <c r="IC13">
        <f t="shared" si="311"/>
        <v>-476.97424410830718</v>
      </c>
      <c r="ID13">
        <f t="shared" si="311"/>
        <v>271.55435179738561</v>
      </c>
      <c r="IE13">
        <f t="shared" si="311"/>
        <v>-541.04779287264682</v>
      </c>
      <c r="IF13">
        <f t="shared" si="311"/>
        <v>275.96645935095148</v>
      </c>
      <c r="IG13">
        <f t="shared" si="311"/>
        <v>-606.8676323335385</v>
      </c>
      <c r="IH13">
        <f t="shared" si="311"/>
        <v>277.52421085390961</v>
      </c>
      <c r="II13">
        <f t="shared" si="311"/>
        <v>-674.37257135531399</v>
      </c>
      <c r="IJ13">
        <f t="shared" si="311"/>
        <v>276.31140086526284</v>
      </c>
      <c r="IK13">
        <f t="shared" si="311"/>
        <v>-614.56547989568207</v>
      </c>
      <c r="IL13">
        <f t="shared" si="311"/>
        <v>272.40921095333761</v>
      </c>
      <c r="IM13">
        <f t="shared" si="311"/>
        <v>-543.71583989873761</v>
      </c>
      <c r="IN13">
        <f t="shared" si="311"/>
        <v>265.89630368811777</v>
      </c>
      <c r="IO13">
        <f t="shared" si="311"/>
        <v>-476.5923473337316</v>
      </c>
      <c r="IP13">
        <f t="shared" si="311"/>
        <v>256.8489122671308</v>
      </c>
      <c r="IQ13">
        <f t="shared" si="311"/>
        <v>-413.09751171967946</v>
      </c>
      <c r="IR13">
        <f t="shared" si="311"/>
        <v>245.34092558198608</v>
      </c>
      <c r="IS13">
        <f t="shared" si="311"/>
        <v>-353.13668634026544</v>
      </c>
      <c r="IT13">
        <f t="shared" si="311"/>
        <v>231.44397136813495</v>
      </c>
      <c r="IU13">
        <f t="shared" si="311"/>
        <v>-296.61797261063475</v>
      </c>
      <c r="IV13">
        <f t="shared" si="311"/>
        <v>215.22749458241742</v>
      </c>
      <c r="IW13">
        <f t="shared" si="311"/>
        <v>-243.45212724932935</v>
      </c>
      <c r="IX13">
        <f t="shared" ref="IX13:LI13" si="312">IX12-$B$9</f>
        <v>196.75883416313445</v>
      </c>
      <c r="IY13">
        <f t="shared" si="312"/>
        <v>-193.55247342941584</v>
      </c>
      <c r="IZ13">
        <f t="shared" si="312"/>
        <v>176.10329485643888</v>
      </c>
      <c r="JA13">
        <f t="shared" si="312"/>
        <v>-146.83481556613697</v>
      </c>
      <c r="JB13">
        <f t="shared" si="312"/>
        <v>153.32421808951767</v>
      </c>
      <c r="JC13">
        <f t="shared" si="312"/>
        <v>-103.21735662815627</v>
      </c>
      <c r="JD13">
        <f t="shared" si="312"/>
        <v>128.48304860258941</v>
      </c>
      <c r="JE13">
        <f t="shared" si="312"/>
        <v>-62.62061942537548</v>
      </c>
      <c r="JF13">
        <f t="shared" si="312"/>
        <v>101.63939984951867</v>
      </c>
      <c r="JG13">
        <f t="shared" si="312"/>
        <v>-24.967370506725274</v>
      </c>
      <c r="JH13">
        <f t="shared" si="312"/>
        <v>72.851114868477453</v>
      </c>
      <c r="JI13">
        <f t="shared" si="312"/>
        <v>9.8174531310796738</v>
      </c>
      <c r="JJ13">
        <f t="shared" si="312"/>
        <v>42.174327458196785</v>
      </c>
      <c r="JK13">
        <f t="shared" si="312"/>
        <v>41.806814775394741</v>
      </c>
      <c r="JL13">
        <f t="shared" si="312"/>
        <v>9.6635184332844801</v>
      </c>
      <c r="JM13">
        <f t="shared" si="312"/>
        <v>71.071645365213044</v>
      </c>
      <c r="JN13">
        <f t="shared" si="312"/>
        <v>-24.628428785130382</v>
      </c>
      <c r="JO13">
        <f t="shared" si="312"/>
        <v>97.680909307615366</v>
      </c>
      <c r="JP13">
        <f t="shared" si="312"/>
        <v>-60.650174697395414</v>
      </c>
      <c r="JQ13">
        <f t="shared" si="312"/>
        <v>121.7016669473378</v>
      </c>
      <c r="JR13">
        <f t="shared" si="312"/>
        <v>-98.351873332576361</v>
      </c>
      <c r="JS13">
        <f t="shared" si="312"/>
        <v>143.19913547096075</v>
      </c>
      <c r="JT13">
        <f t="shared" si="312"/>
        <v>-137.6851224686834</v>
      </c>
      <c r="JU13">
        <f t="shared" si="312"/>
        <v>162.23674740886781</v>
      </c>
      <c r="JV13">
        <f t="shared" si="312"/>
        <v>-178.60291668551508</v>
      </c>
      <c r="JW13">
        <f t="shared" si="312"/>
        <v>178.87620654318016</v>
      </c>
      <c r="JX13">
        <f t="shared" si="312"/>
        <v>-221.05960182391573</v>
      </c>
      <c r="JY13">
        <f t="shared" si="312"/>
        <v>193.17754222539952</v>
      </c>
      <c r="JZ13">
        <f t="shared" si="312"/>
        <v>-265.01083038432989</v>
      </c>
      <c r="KA13">
        <f t="shared" si="312"/>
        <v>205.19916244037449</v>
      </c>
      <c r="KB13">
        <f t="shared" si="312"/>
        <v>-310.413520815433</v>
      </c>
      <c r="KC13">
        <f t="shared" si="312"/>
        <v>214.99790277355351</v>
      </c>
      <c r="KD13">
        <f t="shared" si="312"/>
        <v>-357.22581507870927</v>
      </c>
      <c r="KE13">
        <f t="shared" si="312"/>
        <v>222.62907632952556</v>
      </c>
      <c r="KF13">
        <f t="shared" si="312"/>
        <v>-405.40704069542699</v>
      </c>
      <c r="KG13">
        <f t="shared" si="312"/>
        <v>228.14652027259581</v>
      </c>
      <c r="KH13">
        <f t="shared" si="312"/>
        <v>-454.9176723890123</v>
      </c>
      <c r="KI13">
        <f t="shared" si="312"/>
        <v>231.60264050390106</v>
      </c>
      <c r="KJ13">
        <f t="shared" si="312"/>
        <v>-505.71929582918528</v>
      </c>
      <c r="KK13">
        <f t="shared" si="312"/>
        <v>233.0484558683238</v>
      </c>
      <c r="KL13">
        <f t="shared" si="312"/>
        <v>-557.77457267482532</v>
      </c>
      <c r="KM13">
        <f t="shared" si="312"/>
        <v>232.53364077885635</v>
      </c>
      <c r="KN13">
        <f t="shared" si="312"/>
        <v>-531.08462320268154</v>
      </c>
      <c r="KO13">
        <f t="shared" si="312"/>
        <v>230.10656430339441</v>
      </c>
      <c r="KP13">
        <f t="shared" si="312"/>
        <v>-475.8656430739793</v>
      </c>
      <c r="KQ13">
        <f t="shared" si="312"/>
        <v>225.81433134304825</v>
      </c>
      <c r="KR13">
        <f t="shared" si="312"/>
        <v>-423.2395622729091</v>
      </c>
      <c r="KS13">
        <f t="shared" si="312"/>
        <v>219.70281876262743</v>
      </c>
      <c r="KT13">
        <f t="shared" si="312"/>
        <v>-373.14876233844552</v>
      </c>
      <c r="KU13">
        <f t="shared" si="312"/>
        <v>211.8167135361582</v>
      </c>
      <c r="KV13">
        <f t="shared" si="312"/>
        <v>-325.53704922529869</v>
      </c>
      <c r="KW13">
        <f t="shared" si="312"/>
        <v>202.19954692787724</v>
      </c>
      <c r="KX13">
        <f t="shared" si="312"/>
        <v>-280.34961301862495</v>
      </c>
      <c r="KY13">
        <f t="shared" si="312"/>
        <v>190.89372928562807</v>
      </c>
      <c r="KZ13">
        <f t="shared" si="312"/>
        <v>-237.53298771713162</v>
      </c>
      <c r="LA13">
        <f t="shared" si="312"/>
        <v>177.94058296032017</v>
      </c>
      <c r="LB13">
        <f t="shared" si="312"/>
        <v>-197.03501455893274</v>
      </c>
      <c r="LC13">
        <f t="shared" si="312"/>
        <v>163.38037390983663</v>
      </c>
      <c r="LD13">
        <f t="shared" si="312"/>
        <v>-158.80480277858442</v>
      </c>
      <c r="LE13">
        <f t="shared" si="312"/>
        <v>147.25234273838578</v>
      </c>
      <c r="LF13">
        <f t="shared" si="312"/>
        <v>-122.79269616334932</v>
      </c>
      <c r="LG13">
        <f t="shared" si="312"/>
        <v>129.59473458642606</v>
      </c>
      <c r="LH13">
        <f t="shared" si="312"/>
        <v>-88.950236671138555</v>
      </c>
      <c r="LI13">
        <f t="shared" si="312"/>
        <v>110.44482757832156</v>
      </c>
      <c r="LJ13">
        <f t="shared" ref="LJ13:NU13" si="313">LJ12-$B$9</f>
        <v>-57.230131788935978</v>
      </c>
      <c r="LK13">
        <f t="shared" si="313"/>
        <v>89.838961312081665</v>
      </c>
      <c r="LL13">
        <f t="shared" si="313"/>
        <v>-27.586222291749436</v>
      </c>
      <c r="LM13">
        <f t="shared" si="313"/>
        <v>67.812563035287894</v>
      </c>
      <c r="LN13">
        <f t="shared" si="313"/>
        <v>2.6549923000857234E-2</v>
      </c>
      <c r="LO13">
        <f t="shared" si="313"/>
        <v>44.400173832545988</v>
      </c>
      <c r="LP13">
        <f t="shared" si="313"/>
        <v>25.6521714188857</v>
      </c>
      <c r="LQ13">
        <f t="shared" si="313"/>
        <v>19.635474831389729</v>
      </c>
      <c r="LR13">
        <f t="shared" si="313"/>
        <v>49.333587180299219</v>
      </c>
      <c r="LS13">
        <f t="shared" si="313"/>
        <v>-6.4486901669297367</v>
      </c>
      <c r="LT13">
        <f t="shared" si="313"/>
        <v>71.112729004235007</v>
      </c>
      <c r="LU13">
        <f t="shared" si="313"/>
        <v>-33.820289714785758</v>
      </c>
      <c r="LV13">
        <f t="shared" si="313"/>
        <v>91.030542540829629</v>
      </c>
      <c r="LW13">
        <f t="shared" si="313"/>
        <v>-62.4480819524033</v>
      </c>
      <c r="LX13">
        <f t="shared" si="313"/>
        <v>109.12701478984673</v>
      </c>
      <c r="LY13">
        <f t="shared" si="313"/>
        <v>-92.301593416370451</v>
      </c>
      <c r="LZ13">
        <f t="shared" si="313"/>
        <v>125.44120001496049</v>
      </c>
      <c r="MA13">
        <f t="shared" si="313"/>
        <v>-123.35109673481202</v>
      </c>
      <c r="MB13">
        <f t="shared" si="313"/>
        <v>140.01124377571978</v>
      </c>
      <c r="MC13">
        <f t="shared" si="313"/>
        <v>-155.56759065960068</v>
      </c>
      <c r="MD13">
        <f t="shared" si="313"/>
        <v>152.87440868874546</v>
      </c>
      <c r="ME13">
        <f t="shared" si="313"/>
        <v>-188.92277914722217</v>
      </c>
      <c r="MF13">
        <f t="shared" si="313"/>
        <v>164.06709674623562</v>
      </c>
      <c r="MG13">
        <f t="shared" si="313"/>
        <v>-223.38905286270892</v>
      </c>
      <c r="MH13">
        <f t="shared" si="313"/>
        <v>173.62487343186513</v>
      </c>
      <c r="MI13">
        <f t="shared" si="313"/>
        <v>-258.93946934945416</v>
      </c>
      <c r="MJ13">
        <f t="shared" si="313"/>
        <v>181.58248859253945</v>
      </c>
      <c r="MK13">
        <f t="shared" si="313"/>
        <v>-295.54773581225891</v>
      </c>
      <c r="ML13">
        <f t="shared" si="313"/>
        <v>187.97389853035565</v>
      </c>
      <c r="MM13">
        <f t="shared" si="313"/>
        <v>-333.18819084903225</v>
      </c>
      <c r="MN13">
        <f t="shared" si="313"/>
        <v>192.83228731655981</v>
      </c>
      <c r="MO13">
        <f t="shared" si="313"/>
        <v>-371.83578720834339</v>
      </c>
      <c r="MP13">
        <f t="shared" si="313"/>
        <v>196.19008589215809</v>
      </c>
      <c r="MQ13">
        <f t="shared" si="313"/>
        <v>-411.46607585938182</v>
      </c>
      <c r="MR13">
        <f t="shared" si="313"/>
        <v>198.07899285387248</v>
      </c>
      <c r="MS13">
        <f t="shared" si="313"/>
        <v>-452.05518922110787</v>
      </c>
      <c r="MT13">
        <f t="shared" si="313"/>
        <v>198.52999253128655</v>
      </c>
      <c r="MU13">
        <f t="shared" si="313"/>
        <v>-481.52483534294879</v>
      </c>
      <c r="MV13">
        <f t="shared" si="313"/>
        <v>197.57337408006424</v>
      </c>
      <c r="MW13">
        <f t="shared" si="313"/>
        <v>-436.91813530633226</v>
      </c>
      <c r="MX13">
        <f t="shared" si="313"/>
        <v>195.23874861985678</v>
      </c>
      <c r="MY13">
        <f t="shared" si="313"/>
        <v>-394.18290417367825</v>
      </c>
      <c r="MZ13">
        <f t="shared" si="313"/>
        <v>191.55506778031122</v>
      </c>
      <c r="NA13">
        <f t="shared" si="313"/>
        <v>-353.28335637011332</v>
      </c>
      <c r="NB13">
        <f t="shared" si="313"/>
        <v>186.55063932604389</v>
      </c>
      <c r="NC13">
        <f t="shared" si="313"/>
        <v>-314.18446690181736</v>
      </c>
      <c r="ND13">
        <f t="shared" si="313"/>
        <v>180.25314477388747</v>
      </c>
      <c r="NE13">
        <f t="shared" si="313"/>
        <v>-276.85195204586489</v>
      </c>
      <c r="NF13">
        <f t="shared" si="313"/>
        <v>172.68965382280294</v>
      </c>
      <c r="NG13">
        <f t="shared" si="313"/>
        <v>-241.25225199508714</v>
      </c>
      <c r="NH13">
        <f t="shared" si="313"/>
        <v>163.88664117909502</v>
      </c>
      <c r="NI13">
        <f t="shared" si="313"/>
        <v>-207.35251236165641</v>
      </c>
      <c r="NJ13">
        <f t="shared" si="313"/>
        <v>153.87000059377169</v>
      </c>
      <c r="NK13">
        <f t="shared" si="313"/>
        <v>-175.12056749133626</v>
      </c>
      <c r="NL13">
        <f t="shared" si="313"/>
        <v>142.66506016819039</v>
      </c>
      <c r="NM13">
        <f t="shared" si="313"/>
        <v>-144.52492320316378</v>
      </c>
      <c r="NN13">
        <f t="shared" si="313"/>
        <v>130.29659569374053</v>
      </c>
      <c r="NO13">
        <f t="shared" si="313"/>
        <v>-115.53474155493313</v>
      </c>
      <c r="NP13">
        <f t="shared" si="313"/>
        <v>116.78884479193948</v>
      </c>
      <c r="NQ13">
        <f t="shared" si="313"/>
        <v>-88.119823994289618</v>
      </c>
      <c r="NR13">
        <f t="shared" si="313"/>
        <v>102.16552088712342</v>
      </c>
      <c r="NS13">
        <f t="shared" si="313"/>
        <v>-62.250596482539549</v>
      </c>
      <c r="NT13">
        <f t="shared" si="313"/>
        <v>86.449824746116064</v>
      </c>
      <c r="NU13">
        <f t="shared" si="313"/>
        <v>-37.898094441974536</v>
      </c>
      <c r="NV13">
        <f t="shared" ref="NV13:QG13" si="314">NV12-$B$9</f>
        <v>69.664458329614718</v>
      </c>
      <c r="NW13">
        <f t="shared" si="314"/>
        <v>-15.033948495052755</v>
      </c>
      <c r="NX13">
        <f t="shared" si="314"/>
        <v>51.83163661666913</v>
      </c>
      <c r="NY13">
        <f t="shared" si="314"/>
        <v>6.3696303839678876</v>
      </c>
      <c r="NZ13">
        <f t="shared" si="314"/>
        <v>32.973099169612397</v>
      </c>
      <c r="OA13">
        <f t="shared" si="314"/>
        <v>26.339863520755898</v>
      </c>
      <c r="OB13">
        <f t="shared" si="314"/>
        <v>13.110122302430682</v>
      </c>
      <c r="OC13">
        <f t="shared" si="314"/>
        <v>44.903418803354725</v>
      </c>
      <c r="OD13">
        <f t="shared" si="314"/>
        <v>-7.7364702843478881</v>
      </c>
      <c r="OE13">
        <f t="shared" si="314"/>
        <v>62.086423267784994</v>
      </c>
      <c r="OF13">
        <f t="shared" si="314"/>
        <v>-29.54629588953685</v>
      </c>
      <c r="OG13">
        <f t="shared" si="314"/>
        <v>77.914476052916143</v>
      </c>
      <c r="OH13">
        <f t="shared" si="314"/>
        <v>-52.299402603995986</v>
      </c>
      <c r="OI13">
        <f t="shared" si="314"/>
        <v>92.412660583271645</v>
      </c>
      <c r="OJ13">
        <f t="shared" si="314"/>
        <v>-75.976259089715313</v>
      </c>
      <c r="OK13">
        <f t="shared" si="314"/>
        <v>105.60555585141992</v>
      </c>
      <c r="OL13">
        <f t="shared" si="314"/>
        <v>-100.55774429196026</v>
      </c>
      <c r="OM13">
        <f t="shared" si="314"/>
        <v>117.51724982191809</v>
      </c>
      <c r="ON13">
        <f t="shared" si="314"/>
        <v>-126.0251376471133</v>
      </c>
      <c r="OO13">
        <f t="shared" si="314"/>
        <v>128.17134861444356</v>
      </c>
      <c r="OP13">
        <f t="shared" si="314"/>
        <v>-152.36010972218355</v>
      </c>
      <c r="OQ13">
        <f t="shared" si="314"/>
        <v>137.59098963439465</v>
      </c>
      <c r="OR13">
        <f t="shared" si="314"/>
        <v>-179.54471266834298</v>
      </c>
      <c r="OS13">
        <f t="shared" si="314"/>
        <v>145.79885034268955</v>
      </c>
      <c r="OT13">
        <f t="shared" si="314"/>
        <v>-207.56137143884553</v>
      </c>
      <c r="OU13">
        <f t="shared" si="314"/>
        <v>152.81716063263593</v>
      </c>
      <c r="OV13">
        <f t="shared" si="314"/>
        <v>-236.3928749775514</v>
      </c>
      <c r="OW13">
        <f t="shared" si="314"/>
        <v>158.66771164617967</v>
      </c>
      <c r="OX13">
        <f t="shared" si="314"/>
        <v>-266.02236790466122</v>
      </c>
      <c r="OY13">
        <f t="shared" si="314"/>
        <v>163.37186644604662</v>
      </c>
      <c r="OZ13">
        <f t="shared" si="314"/>
        <v>-296.43334201321704</v>
      </c>
      <c r="PA13">
        <f t="shared" si="314"/>
        <v>166.95056921278592</v>
      </c>
      <c r="PB13">
        <f t="shared" si="314"/>
        <v>-327.60962764237775</v>
      </c>
      <c r="PC13">
        <f t="shared" si="314"/>
        <v>169.42435530544026</v>
      </c>
      <c r="PD13">
        <f t="shared" si="314"/>
        <v>-359.53538721654331</v>
      </c>
      <c r="PE13">
        <f t="shared" si="314"/>
        <v>170.81335947278421</v>
      </c>
      <c r="PF13">
        <f t="shared" si="314"/>
        <v>-392.19510574173182</v>
      </c>
      <c r="PG13">
        <f t="shared" si="314"/>
        <v>171.13732589688152</v>
      </c>
      <c r="PH13">
        <f t="shared" si="314"/>
        <v>-415.20899323484628</v>
      </c>
      <c r="PI13">
        <f t="shared" si="314"/>
        <v>170.41561640187865</v>
      </c>
      <c r="PJ13">
        <f t="shared" si="314"/>
        <v>-379.53529644117225</v>
      </c>
      <c r="PK13">
        <f t="shared" si="314"/>
        <v>168.66721886035521</v>
      </c>
      <c r="PL13">
        <f t="shared" si="314"/>
        <v>-345.2295018620207</v>
      </c>
      <c r="PM13">
        <f t="shared" si="314"/>
        <v>165.91075537772849</v>
      </c>
      <c r="PN13">
        <f t="shared" si="314"/>
        <v>-312.26889507955639</v>
      </c>
      <c r="PO13">
        <f t="shared" si="314"/>
        <v>162.16449094645213</v>
      </c>
      <c r="PP13">
        <f t="shared" si="314"/>
        <v>-280.63117984432029</v>
      </c>
      <c r="PQ13">
        <f t="shared" si="314"/>
        <v>157.4463403141126</v>
      </c>
      <c r="PR13">
        <f t="shared" si="314"/>
        <v>-250.29446959478082</v>
      </c>
      <c r="PS13">
        <f t="shared" si="314"/>
        <v>151.77387713448843</v>
      </c>
      <c r="PT13">
        <f t="shared" si="314"/>
        <v>-221.23727798601612</v>
      </c>
      <c r="PU13">
        <f t="shared" si="314"/>
        <v>145.16433985123876</v>
      </c>
      <c r="PV13">
        <f t="shared" si="314"/>
        <v>-193.43851138843456</v>
      </c>
      <c r="PW13">
        <f t="shared" si="314"/>
        <v>137.6346399995964</v>
      </c>
      <c r="PX13">
        <f t="shared" si="314"/>
        <v>-166.87745934008854</v>
      </c>
      <c r="PY13">
        <f t="shared" si="314"/>
        <v>129.20136916637421</v>
      </c>
      <c r="PZ13">
        <f t="shared" si="314"/>
        <v>-141.53378763626097</v>
      </c>
      <c r="QA13">
        <f t="shared" si="314"/>
        <v>119.88080508832354</v>
      </c>
      <c r="QB13">
        <f t="shared" si="314"/>
        <v>-117.3875298051862</v>
      </c>
      <c r="QC13">
        <f t="shared" si="314"/>
        <v>109.6889201097074</v>
      </c>
      <c r="QD13">
        <f t="shared" si="314"/>
        <v>-94.419079270970542</v>
      </c>
      <c r="QE13">
        <f t="shared" si="314"/>
        <v>98.641386105387937</v>
      </c>
      <c r="QF13">
        <f t="shared" si="314"/>
        <v>-72.609182116750162</v>
      </c>
      <c r="QG13">
        <f t="shared" si="314"/>
        <v>86.753581602068152</v>
      </c>
      <c r="QH13">
        <f t="shared" ref="QH13:QJ13" si="315">QH12-$B$9</f>
        <v>-51.938930224336218</v>
      </c>
      <c r="QI13">
        <f t="shared" si="315"/>
        <v>74.040598124091048</v>
      </c>
      <c r="QJ13">
        <f t="shared" si="315"/>
        <v>-32.38975289609516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Sheet1</vt:lpstr>
      <vt:lpstr>Sheet2</vt:lpstr>
      <vt:lpstr>d</vt:lpstr>
      <vt:lpstr>dt</vt:lpstr>
      <vt:lpstr>K</vt:lpstr>
      <vt:lpstr>p</vt:lpstr>
      <vt:lpstr>Principal</vt:lpstr>
      <vt:lpstr>q</vt:lpstr>
      <vt:lpstr>rate</vt:lpstr>
      <vt:lpstr>S</vt:lpstr>
      <vt:lpstr>T</vt:lpstr>
      <vt:lpstr>u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O'Kane</dc:creator>
  <cp:lastModifiedBy>James O'Kane</cp:lastModifiedBy>
  <dcterms:created xsi:type="dcterms:W3CDTF">2026-01-20T01:12:57Z</dcterms:created>
  <dcterms:modified xsi:type="dcterms:W3CDTF">2026-03-05T13:59:50Z</dcterms:modified>
</cp:coreProperties>
</file>